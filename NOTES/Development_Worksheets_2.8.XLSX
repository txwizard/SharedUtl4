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5" windowWidth="14880" windowHeight="8190" activeTab="1"/>
  </bookViews>
  <sheets>
    <sheet name="Locals" sheetId="1" r:id="rId1"/>
    <sheet name="Arguments" sheetId="2" r:id="rId2"/>
  </sheets>
  <definedNames>
    <definedName name="Stop_1_Locals">Locals!$B$2:$D$8</definedName>
    <definedName name="Stop_2_Locals">Locals!$B$9:$D$12</definedName>
    <definedName name="Stop_3_Locals">Locals!$B$13:$D$18</definedName>
    <definedName name="Stop_4_Locals">Locals!$B$19:$D$23</definedName>
    <definedName name="Stop_5_Locals">Locals!$B$24:$D$28</definedName>
  </definedNames>
  <calcPr calcId="145621"/>
</workbook>
</file>

<file path=xl/calcChain.xml><?xml version="1.0" encoding="utf-8"?>
<calcChain xmlns="http://schemas.openxmlformats.org/spreadsheetml/2006/main">
  <c r="G33" i="2" l="1"/>
  <c r="F36" i="2"/>
  <c r="F35" i="2"/>
  <c r="F34" i="2"/>
  <c r="F33" i="2"/>
  <c r="E36" i="2"/>
  <c r="E35" i="2"/>
  <c r="E34" i="2"/>
  <c r="E33" i="2"/>
  <c r="C36" i="2"/>
  <c r="C35" i="2"/>
  <c r="C34" i="2"/>
  <c r="C33" i="2"/>
  <c r="C32" i="2"/>
  <c r="C31" i="2"/>
  <c r="C30" i="2"/>
  <c r="C29" i="2"/>
  <c r="C28" i="2"/>
  <c r="G28" i="2" s="1"/>
  <c r="C27" i="2"/>
  <c r="C26" i="2"/>
  <c r="C25" i="2"/>
  <c r="C24" i="2"/>
  <c r="G24" i="2" s="1"/>
  <c r="C23" i="2"/>
  <c r="C22" i="2"/>
  <c r="G22" i="2" s="1"/>
  <c r="C21" i="2"/>
  <c r="C20" i="2"/>
  <c r="C19" i="2"/>
  <c r="G19" i="2" s="1"/>
  <c r="G35" i="2"/>
  <c r="G36" i="2"/>
  <c r="G34" i="2"/>
  <c r="E32" i="2" l="1"/>
  <c r="F32" i="2" s="1"/>
  <c r="E31" i="2"/>
  <c r="F31" i="2" s="1"/>
  <c r="E30" i="2"/>
  <c r="F30" i="2" s="1"/>
  <c r="E29" i="2"/>
  <c r="F29" i="2" s="1"/>
  <c r="E28" i="2"/>
  <c r="F28" i="2" s="1"/>
  <c r="E19" i="2"/>
  <c r="F19" i="2" s="1"/>
  <c r="E20" i="2"/>
  <c r="F20" i="2" s="1"/>
  <c r="E27" i="2"/>
  <c r="F27" i="2" s="1"/>
  <c r="E26" i="2"/>
  <c r="F26" i="2" s="1"/>
  <c r="E25" i="2"/>
  <c r="F25" i="2" s="1"/>
  <c r="E24" i="2"/>
  <c r="F24" i="2" s="1"/>
  <c r="E23" i="2"/>
  <c r="F23" i="2" s="1"/>
  <c r="E22" i="2"/>
  <c r="F22" i="2" s="1"/>
  <c r="E21" i="2"/>
  <c r="F21" i="2" s="1"/>
  <c r="C18" i="2"/>
  <c r="C17" i="2"/>
  <c r="C16" i="2"/>
  <c r="C15" i="2"/>
  <c r="C14" i="2"/>
  <c r="G14" i="2" s="1"/>
  <c r="C13" i="2"/>
  <c r="C12" i="2"/>
  <c r="C11" i="2"/>
  <c r="G11" i="2" s="1"/>
  <c r="C10" i="2"/>
  <c r="E10" i="2" s="1"/>
  <c r="F10" i="2" s="1"/>
  <c r="C9" i="2"/>
  <c r="E9" i="2" s="1"/>
  <c r="F9" i="2" s="1"/>
  <c r="C8" i="2"/>
  <c r="E8" i="2" s="1"/>
  <c r="F8" i="2" s="1"/>
  <c r="C7" i="2"/>
  <c r="G7" i="2" s="1"/>
  <c r="C6" i="2"/>
  <c r="E6" i="2" s="1"/>
  <c r="F6" i="2" s="1"/>
  <c r="C5" i="2"/>
  <c r="E5" i="2" s="1"/>
  <c r="F5" i="2" s="1"/>
  <c r="C4" i="2"/>
  <c r="E4" i="2" s="1"/>
  <c r="F4" i="2" s="1"/>
  <c r="C3" i="2"/>
  <c r="E3" i="2" s="1"/>
  <c r="F3" i="2" s="1"/>
  <c r="C2" i="2"/>
  <c r="G2" i="2" s="1"/>
  <c r="G32" i="2"/>
  <c r="G30" i="2"/>
  <c r="G31" i="2"/>
  <c r="G29" i="2"/>
  <c r="G20" i="2"/>
  <c r="G25" i="2"/>
  <c r="G23" i="2"/>
  <c r="G27" i="2"/>
  <c r="G26" i="2"/>
  <c r="G21" i="2"/>
  <c r="G8" i="2"/>
  <c r="G4" i="2"/>
  <c r="G5" i="2"/>
  <c r="G10" i="2"/>
  <c r="G6" i="2"/>
  <c r="G9" i="2"/>
  <c r="G3" i="2"/>
  <c r="E11" i="2" l="1"/>
  <c r="F11" i="2" s="1"/>
  <c r="E12" i="2"/>
  <c r="F12" i="2" s="1"/>
  <c r="E13" i="2"/>
  <c r="F13" i="2" s="1"/>
  <c r="E14" i="2"/>
  <c r="F14" i="2" s="1"/>
  <c r="E15" i="2"/>
  <c r="F15" i="2" s="1"/>
  <c r="E16" i="2"/>
  <c r="F16" i="2" s="1"/>
  <c r="E17" i="2"/>
  <c r="F17" i="2" s="1"/>
  <c r="E18" i="2"/>
  <c r="F18" i="2" s="1"/>
  <c r="E7" i="2"/>
  <c r="F7" i="2" s="1"/>
  <c r="E2" i="2"/>
  <c r="F2" i="2" s="1"/>
  <c r="G13" i="2"/>
  <c r="G15" i="2"/>
  <c r="G17" i="2"/>
  <c r="G12" i="2"/>
  <c r="G16" i="2"/>
  <c r="G18" i="2"/>
</calcChain>
</file>

<file path=xl/sharedStrings.xml><?xml version="1.0" encoding="utf-8"?>
<sst xmlns="http://schemas.openxmlformats.org/spreadsheetml/2006/main" count="187" uniqueCount="83">
  <si>
    <t>strDynamicFormat</t>
  </si>
  <si>
    <t>null</t>
  </si>
  <si>
    <t>string</t>
  </si>
  <si>
    <t>intNLabels</t>
  </si>
  <si>
    <t>int</t>
  </si>
  <si>
    <t>ERRMSG_UNEQUAL_ARRAYS</t>
  </si>
  <si>
    <t>An internal error has occurred. Arrays s_astrLabelsOfVariousLengths and s_astrValuseOfIrrelevantLengths are of unequal length.{2}s_astrLabelsOfVariousLengths Length    = {0}{2}s_astrValuseOfIrrelevantLengths Length = {1}</t>
  </si>
  <si>
    <t>MSG_PROLOGUE</t>
  </si>
  <si>
    <t>{1}Exercising routine AdjustToMaximumWidth: Item Count = {0}{1}</t>
  </si>
  <si>
    <t>MSG_REPORT_LINE</t>
  </si>
  <si>
    <t xml:space="preserve">    Item {0}: {1} = {2}</t>
  </si>
  <si>
    <t>REPORT_LABEL_ITEM_INDEX</t>
  </si>
  <si>
    <t>REPORT_SUMMARY</t>
  </si>
  <si>
    <t>{0}AdjustToMaximumWidth exercises completed!{0}</t>
  </si>
  <si>
    <t>Stop</t>
  </si>
  <si>
    <t>Name</t>
  </si>
  <si>
    <t>Value</t>
  </si>
  <si>
    <t>Type</t>
  </si>
  <si>
    <t xml:space="preserve">                string strDynamicFormat = WizardWrx.FormatStringEngine.FormatItem.AdjustItemNumberWidthPerMaxValue (</t>
  </si>
  <si>
    <t xml:space="preserve">                    MSG_REPORT_LINE ,                                           // Format template string</t>
  </si>
  <si>
    <t xml:space="preserve">                    REPORT_LABEL_ITEM_INDEX ,                                   // Index (0 based) format item number</t>
  </si>
  <si>
    <t xml:space="preserve">                    WizardWrx.StringTricks.LengthOfLongestString (              // Width, in characters, in longest label</t>
  </si>
  <si>
    <t xml:space="preserve">                        s_astrLabelsOfVariousLengths ) );                       // List of labels to evaluate</t>
  </si>
  <si>
    <t>TestFormatItemBuilders</t>
  </si>
  <si>
    <t>Method</t>
  </si>
  <si>
    <t>Code</t>
  </si>
  <si>
    <t>Stop_1_Locals</t>
  </si>
  <si>
    <t>Lookup</t>
  </si>
  <si>
    <t>Variable Name</t>
  </si>
  <si>
    <t>Variable Value</t>
  </si>
  <si>
    <t xml:space="preserve">        public static string AdjustItemNumberWidthPerMaxValue (</t>
  </si>
  <si>
    <t xml:space="preserve">            string pstrInputFormatString ,</t>
  </si>
  <si>
    <t xml:space="preserve">            int pintItemIndex ,</t>
  </si>
  <si>
    <t xml:space="preserve">            int pintHighestValue )</t>
  </si>
  <si>
    <t>pstrInputFormatString</t>
  </si>
  <si>
    <t>pintItemIndex</t>
  </si>
  <si>
    <t>pintHighestValue</t>
  </si>
  <si>
    <t>Stop_2_Locals</t>
  </si>
  <si>
    <t>AdjustItemNumberWidthPerMaxValue</t>
  </si>
  <si>
    <t>Argument</t>
  </si>
  <si>
    <t xml:space="preserve">            return UpgradeFormatItem (</t>
  </si>
  <si>
    <t xml:space="preserve">                pstrInputFormatString ,                 // string pstrFormat</t>
  </si>
  <si>
    <t xml:space="preserve">                pintItemIndex ,                         // uint puintItemIndex</t>
  </si>
  <si>
    <t xml:space="preserve">                AdjustToMaximumWidth (                  // string pstrUpgrade</t>
  </si>
  <si>
    <t xml:space="preserve">                    pintItemIndex ,                         // uint      puintItemIndex</t>
  </si>
  <si>
    <t xml:space="preserve">                    pintHighestValue.ToString ( ).Length ,  // uint      puintMaximumWidth</t>
  </si>
  <si>
    <t xml:space="preserve">                    Alignment.Right ,                       // Alignment penmAlignment</t>
  </si>
  <si>
    <t xml:space="preserve">                    INTEGER_PER_CONTROL_PANEL ) );          // string    pstrFormatString</t>
  </si>
  <si>
    <t>UpgradeFormatItem Call</t>
  </si>
  <si>
    <t>INTEGER_PER_CONTROL_PANEL</t>
  </si>
  <si>
    <t>Stop_3_Locals</t>
  </si>
  <si>
    <t xml:space="preserve">                string strDynamicFormat = FormatItem.UpgradeFormatItem (</t>
  </si>
  <si>
    <t xml:space="preserve">                    MSG_REPORT_LINE ,                                           // string pstrFormat    = Prototype format template string</t>
  </si>
  <si>
    <t xml:space="preserve">                    REPORT_LABEL_ITEM_INDEX ,                                   // int    pintItemIndex = Index (zero based) of format item to upgrade</t>
  </si>
  <si>
    <t xml:space="preserve">                    FormatItem.AdjustToMaximumWidth (                           // string pstrUpgrade   = Replacement format item to substutite for {pintItemIndex}</t>
  </si>
  <si>
    <t xml:space="preserve">                        REPORT_LABEL_ITEM_INDEX ,                                   // int                  pintItemIndex    = Index (zero based) of format item to upgrade</t>
  </si>
  <si>
    <t xml:space="preserve">                        WizardWrx.StringTricks.LengthOfLongestString (              // int                  pintMaximumWidth = Width required to acommodate longest widest field value</t>
  </si>
  <si>
    <t xml:space="preserve">                            s_astrLabelsOfVariousLengths ) ,                            // string [ ] pastrTheseStrings = Format must acommodate longest of these.</t>
  </si>
  <si>
    <t xml:space="preserve">                        FormatItem.Alignment.Left ,                                 // FormatItem.Alignment penmAlignment    = Format Items may be aligned either Left or Right. Choose.</t>
  </si>
  <si>
    <t xml:space="preserve">                        null ) );                                                   // string               pstrFormatString = Unless null (or empty) this becomes the 3rd part of the FormatItem.</t>
  </si>
  <si>
    <t>pintMaximumWidth</t>
  </si>
  <si>
    <t>penmAlignment</t>
  </si>
  <si>
    <t>Left</t>
  </si>
  <si>
    <t>WizardWrx.FormatStringEngine.FormatItem.Alignment</t>
  </si>
  <si>
    <t>pstrFormatString</t>
  </si>
  <si>
    <t>rsb</t>
  </si>
  <si>
    <t>System.Text.StringBuilder</t>
  </si>
  <si>
    <t>Stop_4_Locals</t>
  </si>
  <si>
    <t>public static string AdjustToMaximumWidth (</t>
  </si>
  <si>
    <t xml:space="preserve">    int pintItemIndex ,</t>
  </si>
  <si>
    <t xml:space="preserve">    int pintMaximumWidth ,</t>
  </si>
  <si>
    <t xml:space="preserve">    Alignment penmAlignment ,</t>
  </si>
  <si>
    <t xml:space="preserve">    string pstrFormatString )</t>
  </si>
  <si>
    <t xml:space="preserve">        public static string UpgradeFormatItem (</t>
  </si>
  <si>
    <t xml:space="preserve">            string pstrFormat ,</t>
  </si>
  <si>
    <t xml:space="preserve">            string pstrUpgrade )</t>
  </si>
  <si>
    <t>UpgradeFormatItem</t>
  </si>
  <si>
    <t>pstrFormat</t>
  </si>
  <si>
    <t>pstrUpgrade</t>
  </si>
  <si>
    <t>{1,-8}</t>
  </si>
  <si>
    <t>strTokenValidator</t>
  </si>
  <si>
    <t>strTokenFinder</t>
  </si>
  <si>
    <t>Stop_5_Locals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</si>
</sst>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onsolas"/>
      <family val="2"/>
    </font>
    <font>
      <b/>
      <sz val="14"/>
      <color theme="8" tint="0.79998168889431442"/>
      <name val="Tahoma"/>
      <family val="2"/>
    </font>
    <font>
      <b/>
      <sz val="14"/>
      <color theme="7" tint="0.79998168889431442"/>
      <name val="Tahoma"/>
      <family val="2"/>
    </font>
    <font>
      <sz val="8"/>
      <color theme="1"/>
      <name val="Consolas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theme="8" tint="0.79998168889431442"/>
      </left>
      <right style="thin">
        <color theme="8" tint="0.79998168889431442"/>
      </right>
      <top style="thin">
        <color theme="8" tint="0.79998168889431442"/>
      </top>
      <bottom style="thin">
        <color theme="8" tint="0.79998168889431442"/>
      </bottom>
      <diagonal/>
    </border>
    <border>
      <left style="thin">
        <color theme="8" tint="-0.499984740745262"/>
      </left>
      <right style="thin">
        <color theme="8" tint="-0.499984740745262"/>
      </right>
      <top style="thin">
        <color theme="8" tint="0.79998168889431442"/>
      </top>
      <bottom style="thin">
        <color theme="8" tint="-0.499984740745262"/>
      </bottom>
      <diagonal/>
    </border>
    <border>
      <left style="thin">
        <color theme="8" tint="-0.499984740745262"/>
      </left>
      <right style="thin">
        <color theme="8" tint="-0.499984740745262"/>
      </right>
      <top style="thin">
        <color theme="8" tint="-0.499984740745262"/>
      </top>
      <bottom style="thin">
        <color theme="8" tint="-0.499984740745262"/>
      </bottom>
      <diagonal/>
    </border>
    <border>
      <left style="thin">
        <color theme="7" tint="0.79998168889431442"/>
      </left>
      <right style="thin">
        <color theme="7" tint="0.79998168889431442"/>
      </right>
      <top style="thin">
        <color theme="7" tint="0.79998168889431442"/>
      </top>
      <bottom style="thin">
        <color theme="7" tint="0.79998168889431442"/>
      </bottom>
      <diagonal/>
    </border>
    <border>
      <left style="thin">
        <color theme="7" tint="-0.499984740745262"/>
      </left>
      <right style="thin">
        <color theme="7" tint="-0.499984740745262"/>
      </right>
      <top style="thin">
        <color theme="7" tint="0.79998168889431442"/>
      </top>
      <bottom style="thin">
        <color theme="7" tint="-0.499984740745262"/>
      </bottom>
      <diagonal/>
    </border>
    <border>
      <left style="thin">
        <color theme="7" tint="-0.499984740745262"/>
      </left>
      <right style="thin">
        <color theme="7" tint="-0.499984740745262"/>
      </right>
      <top style="thin">
        <color theme="7" tint="-0.499984740745262"/>
      </top>
      <bottom style="thin">
        <color theme="7" tint="-0.499984740745262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3" borderId="4" xfId="0" applyFont="1" applyFill="1" applyBorder="1"/>
    <xf numFmtId="0" fontId="0" fillId="0" borderId="5" xfId="0" applyBorder="1"/>
    <xf numFmtId="0" fontId="0" fillId="0" borderId="6" xfId="0" applyBorder="1"/>
    <xf numFmtId="0" fontId="3" fillId="0" borderId="5" xfId="0" applyFont="1" applyBorder="1"/>
    <xf numFmtId="0" fontId="3" fillId="0" borderId="6" xfId="0" applyFont="1" applyBorder="1"/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>
      <alignment vertical="top"/>
    </xf>
    <xf numFmtId="0" fontId="0" fillId="0" borderId="2" xfId="0" applyBorder="1" applyAlignment="1">
      <alignment vertical="top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vertical="top"/>
    </xf>
    <xf numFmtId="0" fontId="0" fillId="0" borderId="3" xfId="0" applyBorder="1" applyAlignment="1">
      <alignment horizontal="left" vertical="top"/>
    </xf>
    <xf numFmtId="0" fontId="0" fillId="4" borderId="3" xfId="0" applyFill="1" applyBorder="1" applyAlignment="1">
      <alignment vertical="top"/>
    </xf>
    <xf numFmtId="0" fontId="0" fillId="4" borderId="3" xfId="0" applyFill="1" applyBorder="1" applyAlignment="1">
      <alignment horizontal="left" vertical="top"/>
    </xf>
    <xf numFmtId="0" fontId="3" fillId="5" borderId="6" xfId="0" applyFont="1" applyFill="1" applyBorder="1"/>
    <xf numFmtId="0" fontId="0" fillId="5" borderId="6" xfId="0" applyFill="1" applyBorder="1"/>
    <xf numFmtId="0" fontId="0" fillId="5" borderId="6" xfId="0" applyFill="1" applyBorder="1" applyAlignment="1">
      <alignment horizontal="left"/>
    </xf>
    <xf numFmtId="0" fontId="0" fillId="0" borderId="6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499984740745262"/>
  </sheetPr>
  <dimension ref="A1:F28"/>
  <sheetViews>
    <sheetView topLeftCell="A4" workbookViewId="0">
      <selection activeCell="B24" sqref="B24:D28"/>
    </sheetView>
  </sheetViews>
  <sheetFormatPr defaultRowHeight="15" x14ac:dyDescent="0.25"/>
  <cols>
    <col min="1" max="1" width="6.625" style="8" bestFit="1" customWidth="1"/>
    <col min="2" max="2" width="26.375" style="8" bestFit="1" customWidth="1"/>
    <col min="3" max="3" width="227.5" style="8" bestFit="1" customWidth="1"/>
    <col min="4" max="16384" width="9" style="8"/>
  </cols>
  <sheetData>
    <row r="1" spans="1:4" ht="18" x14ac:dyDescent="0.25">
      <c r="A1" s="6" t="s">
        <v>14</v>
      </c>
      <c r="B1" s="6" t="s">
        <v>15</v>
      </c>
      <c r="C1" s="7" t="s">
        <v>16</v>
      </c>
      <c r="D1" s="7" t="s">
        <v>17</v>
      </c>
    </row>
    <row r="2" spans="1:4" x14ac:dyDescent="0.25">
      <c r="A2" s="9">
        <v>1</v>
      </c>
      <c r="B2" s="9" t="s">
        <v>0</v>
      </c>
      <c r="C2" s="10" t="s">
        <v>1</v>
      </c>
      <c r="D2" s="9" t="s">
        <v>2</v>
      </c>
    </row>
    <row r="3" spans="1:4" x14ac:dyDescent="0.25">
      <c r="A3" s="11">
        <v>1</v>
      </c>
      <c r="B3" s="11" t="s">
        <v>3</v>
      </c>
      <c r="C3" s="12">
        <v>4</v>
      </c>
      <c r="D3" s="11" t="s">
        <v>4</v>
      </c>
    </row>
    <row r="4" spans="1:4" x14ac:dyDescent="0.25">
      <c r="A4" s="11">
        <v>1</v>
      </c>
      <c r="B4" s="11" t="s">
        <v>5</v>
      </c>
      <c r="C4" s="12" t="s">
        <v>6</v>
      </c>
      <c r="D4" s="11" t="s">
        <v>2</v>
      </c>
    </row>
    <row r="5" spans="1:4" x14ac:dyDescent="0.25">
      <c r="A5" s="11">
        <v>1</v>
      </c>
      <c r="B5" s="11" t="s">
        <v>7</v>
      </c>
      <c r="C5" s="12" t="s">
        <v>8</v>
      </c>
      <c r="D5" s="11" t="s">
        <v>2</v>
      </c>
    </row>
    <row r="6" spans="1:4" x14ac:dyDescent="0.25">
      <c r="A6" s="11">
        <v>1</v>
      </c>
      <c r="B6" s="11" t="s">
        <v>9</v>
      </c>
      <c r="C6" s="12" t="s">
        <v>10</v>
      </c>
      <c r="D6" s="11" t="s">
        <v>2</v>
      </c>
    </row>
    <row r="7" spans="1:4" x14ac:dyDescent="0.25">
      <c r="A7" s="11">
        <v>1</v>
      </c>
      <c r="B7" s="11" t="s">
        <v>11</v>
      </c>
      <c r="C7" s="12">
        <v>1</v>
      </c>
      <c r="D7" s="11" t="s">
        <v>4</v>
      </c>
    </row>
    <row r="8" spans="1:4" x14ac:dyDescent="0.25">
      <c r="A8" s="11">
        <v>1</v>
      </c>
      <c r="B8" s="11" t="s">
        <v>12</v>
      </c>
      <c r="C8" s="12" t="s">
        <v>13</v>
      </c>
      <c r="D8" s="11" t="s">
        <v>2</v>
      </c>
    </row>
    <row r="9" spans="1:4" x14ac:dyDescent="0.25">
      <c r="A9" s="13">
        <v>2</v>
      </c>
      <c r="B9" s="13" t="s">
        <v>49</v>
      </c>
      <c r="C9" s="14">
        <v>0</v>
      </c>
      <c r="D9" s="13" t="s">
        <v>4</v>
      </c>
    </row>
    <row r="10" spans="1:4" x14ac:dyDescent="0.25">
      <c r="A10" s="13">
        <v>2</v>
      </c>
      <c r="B10" s="13" t="s">
        <v>34</v>
      </c>
      <c r="C10" s="14" t="s">
        <v>10</v>
      </c>
      <c r="D10" s="13" t="s">
        <v>2</v>
      </c>
    </row>
    <row r="11" spans="1:4" x14ac:dyDescent="0.25">
      <c r="A11" s="13">
        <v>2</v>
      </c>
      <c r="B11" s="13" t="s">
        <v>35</v>
      </c>
      <c r="C11" s="14">
        <v>1</v>
      </c>
      <c r="D11" s="13" t="s">
        <v>4</v>
      </c>
    </row>
    <row r="12" spans="1:4" x14ac:dyDescent="0.25">
      <c r="A12" s="13">
        <v>2</v>
      </c>
      <c r="B12" s="13" t="s">
        <v>36</v>
      </c>
      <c r="C12" s="14">
        <v>8</v>
      </c>
      <c r="D12" s="13" t="s">
        <v>4</v>
      </c>
    </row>
    <row r="13" spans="1:4" x14ac:dyDescent="0.25">
      <c r="A13" s="11">
        <v>3</v>
      </c>
      <c r="B13" s="11" t="s">
        <v>3</v>
      </c>
      <c r="C13" s="12">
        <v>4</v>
      </c>
      <c r="D13" s="11" t="s">
        <v>4</v>
      </c>
    </row>
    <row r="14" spans="1:4" x14ac:dyDescent="0.25">
      <c r="A14" s="11">
        <v>3</v>
      </c>
      <c r="B14" s="11" t="s">
        <v>5</v>
      </c>
      <c r="C14" s="12" t="s">
        <v>6</v>
      </c>
      <c r="D14" s="11" t="s">
        <v>2</v>
      </c>
    </row>
    <row r="15" spans="1:4" x14ac:dyDescent="0.25">
      <c r="A15" s="11">
        <v>3</v>
      </c>
      <c r="B15" s="11" t="s">
        <v>7</v>
      </c>
      <c r="C15" s="12" t="s">
        <v>8</v>
      </c>
      <c r="D15" s="11" t="s">
        <v>2</v>
      </c>
    </row>
    <row r="16" spans="1:4" x14ac:dyDescent="0.25">
      <c r="A16" s="11">
        <v>3</v>
      </c>
      <c r="B16" s="11" t="s">
        <v>9</v>
      </c>
      <c r="C16" s="12" t="s">
        <v>10</v>
      </c>
      <c r="D16" s="11" t="s">
        <v>2</v>
      </c>
    </row>
    <row r="17" spans="1:6" x14ac:dyDescent="0.25">
      <c r="A17" s="11">
        <v>3</v>
      </c>
      <c r="B17" s="11" t="s">
        <v>11</v>
      </c>
      <c r="C17" s="12">
        <v>1</v>
      </c>
      <c r="D17" s="11" t="s">
        <v>4</v>
      </c>
    </row>
    <row r="18" spans="1:6" x14ac:dyDescent="0.25">
      <c r="A18" s="11">
        <v>3</v>
      </c>
      <c r="B18" s="11" t="s">
        <v>12</v>
      </c>
      <c r="C18" s="12" t="s">
        <v>13</v>
      </c>
      <c r="D18" s="11" t="s">
        <v>2</v>
      </c>
    </row>
    <row r="19" spans="1:6" x14ac:dyDescent="0.25">
      <c r="A19" s="13">
        <v>4</v>
      </c>
      <c r="B19" s="13" t="s">
        <v>35</v>
      </c>
      <c r="C19" s="14">
        <v>1</v>
      </c>
      <c r="D19" s="13" t="s">
        <v>4</v>
      </c>
    </row>
    <row r="20" spans="1:6" x14ac:dyDescent="0.25">
      <c r="A20" s="13">
        <v>4</v>
      </c>
      <c r="B20" s="13" t="s">
        <v>60</v>
      </c>
      <c r="C20" s="14">
        <v>8</v>
      </c>
      <c r="D20" s="13" t="s">
        <v>4</v>
      </c>
    </row>
    <row r="21" spans="1:6" x14ac:dyDescent="0.25">
      <c r="A21" s="13">
        <v>4</v>
      </c>
      <c r="B21" s="13" t="s">
        <v>61</v>
      </c>
      <c r="C21" s="14" t="s">
        <v>62</v>
      </c>
      <c r="D21" s="13" t="s">
        <v>63</v>
      </c>
    </row>
    <row r="22" spans="1:6" x14ac:dyDescent="0.25">
      <c r="A22" s="13">
        <v>4</v>
      </c>
      <c r="B22" s="13" t="s">
        <v>64</v>
      </c>
      <c r="C22" s="14" t="s">
        <v>1</v>
      </c>
      <c r="D22" s="13" t="s">
        <v>2</v>
      </c>
    </row>
    <row r="23" spans="1:6" x14ac:dyDescent="0.25">
      <c r="A23" s="13">
        <v>4</v>
      </c>
      <c r="B23" s="13" t="s">
        <v>65</v>
      </c>
      <c r="C23" s="14" t="s">
        <v>1</v>
      </c>
      <c r="D23" s="13" t="s">
        <v>66</v>
      </c>
    </row>
    <row r="24" spans="1:6" x14ac:dyDescent="0.25">
      <c r="A24" s="11">
        <v>5</v>
      </c>
      <c r="B24" s="11" t="s">
        <v>77</v>
      </c>
      <c r="C24" s="12" t="s">
        <v>10</v>
      </c>
      <c r="D24" s="11" t="s">
        <v>2</v>
      </c>
    </row>
    <row r="25" spans="1:6" x14ac:dyDescent="0.25">
      <c r="A25" s="11">
        <v>5</v>
      </c>
      <c r="B25" s="11" t="s">
        <v>35</v>
      </c>
      <c r="C25" s="12">
        <v>1</v>
      </c>
      <c r="D25" s="11" t="s">
        <v>4</v>
      </c>
    </row>
    <row r="26" spans="1:6" x14ac:dyDescent="0.25">
      <c r="A26" s="11">
        <v>5</v>
      </c>
      <c r="B26" s="11" t="s">
        <v>78</v>
      </c>
      <c r="C26" s="12" t="s">
        <v>79</v>
      </c>
      <c r="D26" s="11" t="s">
        <v>2</v>
      </c>
    </row>
    <row r="27" spans="1:6" x14ac:dyDescent="0.25">
      <c r="A27" s="11">
        <v>5</v>
      </c>
      <c r="B27" s="11" t="s">
        <v>80</v>
      </c>
      <c r="C27" s="12" t="s">
        <v>1</v>
      </c>
      <c r="D27" s="11" t="s">
        <v>2</v>
      </c>
    </row>
    <row r="28" spans="1:6" x14ac:dyDescent="0.25">
      <c r="D28" s="8" t="s">
        <v>81</v>
      </c>
      <c r="E28" s="8" t="s">
        <v>1</v>
      </c>
      <c r="F28" s="8" t="s">
        <v>2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-0.499984740745262"/>
  </sheetPr>
  <dimension ref="A1:J36"/>
  <sheetViews>
    <sheetView tabSelected="1" workbookViewId="0">
      <pane xSplit="1" ySplit="1" topLeftCell="F23" activePane="bottomRight" state="frozen"/>
      <selection pane="topRight" activeCell="B1" sqref="B1"/>
      <selection pane="bottomLeft" activeCell="A2" sqref="A2"/>
      <selection pane="bottomRight" activeCell="G36" sqref="G36"/>
    </sheetView>
  </sheetViews>
  <sheetFormatPr defaultRowHeight="15" x14ac:dyDescent="0.25"/>
  <cols>
    <col min="1" max="1" width="25.375" bestFit="1" customWidth="1"/>
    <col min="2" max="2" width="94.125" customWidth="1"/>
    <col min="3" max="3" width="6.625" bestFit="1" customWidth="1"/>
    <col min="4" max="4" width="14" bestFit="1" customWidth="1"/>
    <col min="5" max="5" width="57.25" bestFit="1" customWidth="1"/>
    <col min="6" max="6" width="29.5" bestFit="1" customWidth="1"/>
    <col min="7" max="7" width="26.375" bestFit="1" customWidth="1"/>
  </cols>
  <sheetData>
    <row r="1" spans="1:10" ht="18" x14ac:dyDescent="0.25">
      <c r="A1" s="1" t="s">
        <v>24</v>
      </c>
      <c r="B1" s="1" t="s">
        <v>25</v>
      </c>
      <c r="C1" s="1" t="s">
        <v>14</v>
      </c>
      <c r="D1" s="1" t="s">
        <v>27</v>
      </c>
      <c r="E1" s="1" t="s">
        <v>39</v>
      </c>
      <c r="F1" s="1" t="s">
        <v>28</v>
      </c>
      <c r="G1" s="1" t="s">
        <v>29</v>
      </c>
      <c r="H1" s="1"/>
      <c r="I1" s="1"/>
      <c r="J1" s="1"/>
    </row>
    <row r="2" spans="1:10" x14ac:dyDescent="0.25">
      <c r="A2" s="4" t="s">
        <v>23</v>
      </c>
      <c r="B2" s="4" t="s">
        <v>18</v>
      </c>
      <c r="C2" s="2" t="str">
        <f>IFERROR(FIND(",",B2),IFERROR(FIND(")",B2),""))</f>
        <v/>
      </c>
      <c r="D2" s="2" t="s">
        <v>26</v>
      </c>
      <c r="E2" s="2" t="str">
        <f>IF(LEN(C2)&gt;0,TRIM(LEFT(B2,C2-1)),"")</f>
        <v/>
      </c>
      <c r="F2" s="2" t="str">
        <f>IF(LEN(E2)&gt;0,IF(ISERROR(FIND(CHAR(32),E2)),E2,RIGHT(E2,LEN(E2)-FIND(CHAR(32),E2))),"")</f>
        <v/>
      </c>
      <c r="G2" s="2" t="str">
        <f t="shared" ref="G2:G16" ca="1" si="0">IF(LEN(C2)&gt;0,IFERROR(VLOOKUP(F2,INDIRECT(D2),2,FALSE),IF(ISERROR(FIND(".",F2)),"",F2)),"")</f>
        <v/>
      </c>
      <c r="H2" s="2"/>
      <c r="I2" s="2"/>
      <c r="J2" s="2"/>
    </row>
    <row r="3" spans="1:10" x14ac:dyDescent="0.25">
      <c r="A3" s="5" t="s">
        <v>23</v>
      </c>
      <c r="B3" s="5" t="s">
        <v>19</v>
      </c>
      <c r="C3" s="3">
        <f t="shared" ref="C3:C19" si="1">IFERROR(FIND(",",B3),IFERROR(FIND(")",B3),""))</f>
        <v>37</v>
      </c>
      <c r="D3" s="3" t="s">
        <v>26</v>
      </c>
      <c r="E3" s="3" t="str">
        <f t="shared" ref="E3:E10" si="2">IF(LEN(C3)&gt;0,TRIM(LEFT(B3,C3-1)),"")</f>
        <v>MSG_REPORT_LINE</v>
      </c>
      <c r="F3" s="3" t="str">
        <f t="shared" ref="F3:F18" si="3">IF(LEN(E3)&gt;0,IF(ISERROR(FIND(CHAR(32),E3)),E3,RIGHT(E3,LEN(E3)-FIND(CHAR(32),E3))),"")</f>
        <v>MSG_REPORT_LINE</v>
      </c>
      <c r="G3" s="3" t="str">
        <f t="shared" ca="1" si="0"/>
        <v xml:space="preserve">    Item {0}: {1} = {2}</v>
      </c>
      <c r="H3" s="3"/>
      <c r="I3" s="3"/>
      <c r="J3" s="3"/>
    </row>
    <row r="4" spans="1:10" x14ac:dyDescent="0.25">
      <c r="A4" s="5" t="s">
        <v>23</v>
      </c>
      <c r="B4" s="5" t="s">
        <v>20</v>
      </c>
      <c r="C4" s="3">
        <f t="shared" si="1"/>
        <v>45</v>
      </c>
      <c r="D4" s="3" t="s">
        <v>26</v>
      </c>
      <c r="E4" s="3" t="str">
        <f t="shared" si="2"/>
        <v>REPORT_LABEL_ITEM_INDEX</v>
      </c>
      <c r="F4" s="3" t="str">
        <f t="shared" si="3"/>
        <v>REPORT_LABEL_ITEM_INDEX</v>
      </c>
      <c r="G4" s="3">
        <f t="shared" ca="1" si="0"/>
        <v>1</v>
      </c>
      <c r="H4" s="3"/>
      <c r="I4" s="3"/>
      <c r="J4" s="3"/>
    </row>
    <row r="5" spans="1:10" x14ac:dyDescent="0.25">
      <c r="A5" s="5" t="s">
        <v>23</v>
      </c>
      <c r="B5" s="5" t="s">
        <v>21</v>
      </c>
      <c r="C5" s="3">
        <f t="shared" si="1"/>
        <v>89</v>
      </c>
      <c r="D5" s="3" t="s">
        <v>26</v>
      </c>
      <c r="E5" s="3" t="str">
        <f t="shared" si="2"/>
        <v>WizardWrx.StringTricks.LengthOfLongestString ( // Width</v>
      </c>
      <c r="F5" s="3" t="str">
        <f t="shared" si="3"/>
        <v>( // Width</v>
      </c>
      <c r="G5" s="3" t="str">
        <f t="shared" ca="1" si="0"/>
        <v/>
      </c>
      <c r="H5" s="3"/>
      <c r="I5" s="3"/>
      <c r="J5" s="3"/>
    </row>
    <row r="6" spans="1:10" x14ac:dyDescent="0.25">
      <c r="A6" s="5" t="s">
        <v>23</v>
      </c>
      <c r="B6" s="5" t="s">
        <v>22</v>
      </c>
      <c r="C6" s="3">
        <f t="shared" si="1"/>
        <v>54</v>
      </c>
      <c r="D6" s="3" t="s">
        <v>26</v>
      </c>
      <c r="E6" s="3" t="str">
        <f t="shared" si="2"/>
        <v>s_astrLabelsOfVariousLengths</v>
      </c>
      <c r="F6" s="3" t="str">
        <f t="shared" si="3"/>
        <v>s_astrLabelsOfVariousLengths</v>
      </c>
      <c r="G6" s="3" t="str">
        <f t="shared" ca="1" si="0"/>
        <v/>
      </c>
      <c r="H6" s="3"/>
      <c r="I6" s="3"/>
      <c r="J6" s="3"/>
    </row>
    <row r="7" spans="1:10" x14ac:dyDescent="0.25">
      <c r="A7" s="15" t="s">
        <v>38</v>
      </c>
      <c r="B7" s="15" t="s">
        <v>30</v>
      </c>
      <c r="C7" s="16" t="str">
        <f t="shared" si="1"/>
        <v/>
      </c>
      <c r="D7" s="16" t="s">
        <v>37</v>
      </c>
      <c r="E7" s="16" t="str">
        <f t="shared" si="2"/>
        <v/>
      </c>
      <c r="F7" s="16" t="str">
        <f t="shared" si="3"/>
        <v/>
      </c>
      <c r="G7" s="16" t="str">
        <f t="shared" ca="1" si="0"/>
        <v/>
      </c>
      <c r="H7" s="16"/>
      <c r="I7" s="16"/>
      <c r="J7" s="16"/>
    </row>
    <row r="8" spans="1:10" x14ac:dyDescent="0.25">
      <c r="A8" s="15" t="s">
        <v>38</v>
      </c>
      <c r="B8" s="15" t="s">
        <v>31</v>
      </c>
      <c r="C8" s="16">
        <f t="shared" si="1"/>
        <v>42</v>
      </c>
      <c r="D8" s="16" t="s">
        <v>37</v>
      </c>
      <c r="E8" s="16" t="str">
        <f t="shared" si="2"/>
        <v>string pstrInputFormatString</v>
      </c>
      <c r="F8" s="16" t="str">
        <f t="shared" si="3"/>
        <v>pstrInputFormatString</v>
      </c>
      <c r="G8" s="16" t="str">
        <f t="shared" ca="1" si="0"/>
        <v xml:space="preserve">    Item {0}: {1} = {2}</v>
      </c>
      <c r="H8" s="16"/>
      <c r="I8" s="16"/>
      <c r="J8" s="16"/>
    </row>
    <row r="9" spans="1:10" x14ac:dyDescent="0.25">
      <c r="A9" s="15" t="s">
        <v>38</v>
      </c>
      <c r="B9" s="15" t="s">
        <v>32</v>
      </c>
      <c r="C9" s="16">
        <f t="shared" si="1"/>
        <v>31</v>
      </c>
      <c r="D9" s="16" t="s">
        <v>37</v>
      </c>
      <c r="E9" s="16" t="str">
        <f t="shared" si="2"/>
        <v>int pintItemIndex</v>
      </c>
      <c r="F9" s="16" t="str">
        <f t="shared" si="3"/>
        <v>pintItemIndex</v>
      </c>
      <c r="G9" s="16">
        <f t="shared" ca="1" si="0"/>
        <v>1</v>
      </c>
      <c r="H9" s="16"/>
      <c r="I9" s="16"/>
      <c r="J9" s="16"/>
    </row>
    <row r="10" spans="1:10" x14ac:dyDescent="0.25">
      <c r="A10" s="15" t="s">
        <v>38</v>
      </c>
      <c r="B10" s="15" t="s">
        <v>33</v>
      </c>
      <c r="C10" s="16">
        <f t="shared" si="1"/>
        <v>34</v>
      </c>
      <c r="D10" s="16" t="s">
        <v>37</v>
      </c>
      <c r="E10" s="16" t="str">
        <f t="shared" si="2"/>
        <v>int pintHighestValue</v>
      </c>
      <c r="F10" s="16" t="str">
        <f t="shared" si="3"/>
        <v>pintHighestValue</v>
      </c>
      <c r="G10" s="16">
        <f t="shared" ca="1" si="0"/>
        <v>8</v>
      </c>
      <c r="H10" s="16"/>
      <c r="I10" s="16"/>
      <c r="J10" s="16"/>
    </row>
    <row r="11" spans="1:10" x14ac:dyDescent="0.25">
      <c r="A11" s="5" t="s">
        <v>48</v>
      </c>
      <c r="B11" s="5" t="s">
        <v>40</v>
      </c>
      <c r="C11" s="3" t="str">
        <f t="shared" si="1"/>
        <v/>
      </c>
      <c r="D11" s="3" t="s">
        <v>37</v>
      </c>
      <c r="E11" s="3" t="str">
        <f t="shared" ref="E11:E18" si="4">IF(LEN(C11)&gt;0,TRIM(LEFT(B11,C11-1)),"")</f>
        <v/>
      </c>
      <c r="F11" s="3" t="str">
        <f t="shared" si="3"/>
        <v/>
      </c>
      <c r="G11" s="3" t="str">
        <f t="shared" ca="1" si="0"/>
        <v/>
      </c>
      <c r="H11" s="3"/>
      <c r="I11" s="3"/>
      <c r="J11" s="3"/>
    </row>
    <row r="12" spans="1:10" x14ac:dyDescent="0.25">
      <c r="A12" s="5" t="s">
        <v>48</v>
      </c>
      <c r="B12" s="5" t="s">
        <v>41</v>
      </c>
      <c r="C12" s="3">
        <f t="shared" si="1"/>
        <v>39</v>
      </c>
      <c r="D12" s="3" t="s">
        <v>37</v>
      </c>
      <c r="E12" s="3" t="str">
        <f t="shared" si="4"/>
        <v>pstrInputFormatString</v>
      </c>
      <c r="F12" s="3" t="str">
        <f t="shared" si="3"/>
        <v>pstrInputFormatString</v>
      </c>
      <c r="G12" s="3" t="str">
        <f t="shared" ca="1" si="0"/>
        <v xml:space="preserve">    Item {0}: {1} = {2}</v>
      </c>
      <c r="H12" s="3"/>
      <c r="I12" s="3"/>
      <c r="J12" s="3"/>
    </row>
    <row r="13" spans="1:10" x14ac:dyDescent="0.25">
      <c r="A13" s="5" t="s">
        <v>48</v>
      </c>
      <c r="B13" s="5" t="s">
        <v>42</v>
      </c>
      <c r="C13" s="3">
        <f t="shared" si="1"/>
        <v>31</v>
      </c>
      <c r="D13" s="3" t="s">
        <v>37</v>
      </c>
      <c r="E13" s="3" t="str">
        <f t="shared" si="4"/>
        <v>pintItemIndex</v>
      </c>
      <c r="F13" s="3" t="str">
        <f t="shared" si="3"/>
        <v>pintItemIndex</v>
      </c>
      <c r="G13" s="3">
        <f t="shared" ca="1" si="0"/>
        <v>1</v>
      </c>
      <c r="H13" s="3"/>
      <c r="I13" s="3"/>
      <c r="J13" s="3"/>
    </row>
    <row r="14" spans="1:10" x14ac:dyDescent="0.25">
      <c r="A14" s="5" t="s">
        <v>48</v>
      </c>
      <c r="B14" s="5" t="s">
        <v>43</v>
      </c>
      <c r="C14" s="3" t="str">
        <f t="shared" si="1"/>
        <v/>
      </c>
      <c r="D14" s="3" t="s">
        <v>37</v>
      </c>
      <c r="E14" s="3" t="str">
        <f t="shared" si="4"/>
        <v/>
      </c>
      <c r="F14" s="3" t="str">
        <f t="shared" si="3"/>
        <v/>
      </c>
      <c r="G14" s="3" t="str">
        <f t="shared" ca="1" si="0"/>
        <v/>
      </c>
      <c r="H14" s="3"/>
      <c r="I14" s="3"/>
      <c r="J14" s="3"/>
    </row>
    <row r="15" spans="1:10" x14ac:dyDescent="0.25">
      <c r="A15" s="5" t="s">
        <v>48</v>
      </c>
      <c r="B15" s="5" t="s">
        <v>44</v>
      </c>
      <c r="C15" s="3">
        <f t="shared" si="1"/>
        <v>35</v>
      </c>
      <c r="D15" s="3" t="s">
        <v>37</v>
      </c>
      <c r="E15" s="3" t="str">
        <f t="shared" si="4"/>
        <v>pintItemIndex</v>
      </c>
      <c r="F15" s="3" t="str">
        <f t="shared" si="3"/>
        <v>pintItemIndex</v>
      </c>
      <c r="G15" s="3">
        <f t="shared" ca="1" si="0"/>
        <v>1</v>
      </c>
      <c r="H15" s="3"/>
      <c r="I15" s="3"/>
      <c r="J15" s="3"/>
    </row>
    <row r="16" spans="1:10" x14ac:dyDescent="0.25">
      <c r="A16" s="5" t="s">
        <v>48</v>
      </c>
      <c r="B16" s="5" t="s">
        <v>45</v>
      </c>
      <c r="C16" s="3">
        <f t="shared" si="1"/>
        <v>58</v>
      </c>
      <c r="D16" s="3" t="s">
        <v>37</v>
      </c>
      <c r="E16" s="3" t="str">
        <f t="shared" si="4"/>
        <v>pintHighestValue.ToString ( ).Length</v>
      </c>
      <c r="F16" s="3" t="str">
        <f t="shared" si="3"/>
        <v>( ).Length</v>
      </c>
      <c r="G16" s="3" t="str">
        <f t="shared" ca="1" si="0"/>
        <v>( ).Length</v>
      </c>
      <c r="H16" s="3"/>
      <c r="I16" s="3"/>
      <c r="J16" s="3"/>
    </row>
    <row r="17" spans="1:10" x14ac:dyDescent="0.25">
      <c r="A17" s="5" t="s">
        <v>48</v>
      </c>
      <c r="B17" s="5" t="s">
        <v>46</v>
      </c>
      <c r="C17" s="3">
        <f t="shared" si="1"/>
        <v>37</v>
      </c>
      <c r="D17" s="3" t="s">
        <v>37</v>
      </c>
      <c r="E17" s="3" t="str">
        <f t="shared" si="4"/>
        <v>Alignment.Right</v>
      </c>
      <c r="F17" s="3" t="str">
        <f t="shared" si="3"/>
        <v>Alignment.Right</v>
      </c>
      <c r="G17" s="3" t="str">
        <f ca="1">IF(LEN(C17)&gt;0,IFERROR(VLOOKUP(F17,INDIRECT(D17),2,FALSE),IF(ISERROR(FIND(".",F17)),"",F17)),"")</f>
        <v>Alignment.Right</v>
      </c>
      <c r="H17" s="3"/>
      <c r="I17" s="3"/>
      <c r="J17" s="3"/>
    </row>
    <row r="18" spans="1:10" x14ac:dyDescent="0.25">
      <c r="A18" s="5" t="s">
        <v>48</v>
      </c>
      <c r="B18" s="5" t="s">
        <v>47</v>
      </c>
      <c r="C18" s="3">
        <f t="shared" si="1"/>
        <v>47</v>
      </c>
      <c r="D18" s="3" t="s">
        <v>37</v>
      </c>
      <c r="E18" s="3" t="str">
        <f t="shared" si="4"/>
        <v>INTEGER_PER_CONTROL_PANEL</v>
      </c>
      <c r="F18" s="3" t="str">
        <f t="shared" si="3"/>
        <v>INTEGER_PER_CONTROL_PANEL</v>
      </c>
      <c r="G18" s="3">
        <f ca="1">IF(LEN(C18)&gt;0,IFERROR(VLOOKUP(F18,INDIRECT(D18),2,FALSE),IF(ISERROR(FIND(".",F18)),"",F18)),"")</f>
        <v>0</v>
      </c>
      <c r="H18" s="3"/>
      <c r="I18" s="3"/>
      <c r="J18" s="3"/>
    </row>
    <row r="19" spans="1:10" x14ac:dyDescent="0.25">
      <c r="A19" s="15" t="s">
        <v>48</v>
      </c>
      <c r="B19" s="15" t="s">
        <v>51</v>
      </c>
      <c r="C19" s="16" t="str">
        <f t="shared" si="1"/>
        <v/>
      </c>
      <c r="D19" s="16" t="s">
        <v>50</v>
      </c>
      <c r="E19" s="16" t="str">
        <f t="shared" ref="E19" si="5">IF(LEN(C19)&gt;0,TRIM(LEFT(B19,C19-1)),"")</f>
        <v/>
      </c>
      <c r="F19" s="16" t="str">
        <f t="shared" ref="F19" si="6">IF(LEN(E19)&gt;0,IF(ISERROR(FIND(CHAR(32),E19)),E19,RIGHT(E19,LEN(E19)-FIND(CHAR(32),E19))),"")</f>
        <v/>
      </c>
      <c r="G19" s="16" t="str">
        <f ca="1">IF(LEN(C19)&gt;0,IFERROR(VLOOKUP(F19,INDIRECT(D19),2,FALSE),IF(ISERROR(FIND(".",F19)),"",F19)),"")</f>
        <v/>
      </c>
      <c r="H19" s="16"/>
      <c r="I19" s="16"/>
      <c r="J19" s="16"/>
    </row>
    <row r="20" spans="1:10" x14ac:dyDescent="0.25">
      <c r="A20" s="15" t="s">
        <v>48</v>
      </c>
      <c r="B20" s="15" t="s">
        <v>52</v>
      </c>
      <c r="C20" s="16">
        <f t="shared" ref="C20:C36" si="7">IFERROR(FIND(",",B20),IFERROR(FIND(")",B20),""))</f>
        <v>37</v>
      </c>
      <c r="D20" s="16" t="s">
        <v>50</v>
      </c>
      <c r="E20" s="16" t="str">
        <f t="shared" ref="E20:E36" si="8">IF(LEN(C20)&gt;0,TRIM(LEFT(B20,C20-1)),"")</f>
        <v>MSG_REPORT_LINE</v>
      </c>
      <c r="F20" s="16" t="str">
        <f t="shared" ref="F20:F36" si="9">IF(LEN(E20)&gt;0,IF(ISERROR(FIND(CHAR(32),E20)),E20,RIGHT(E20,LEN(E20)-FIND(CHAR(32),E20))),"")</f>
        <v>MSG_REPORT_LINE</v>
      </c>
      <c r="G20" s="16" t="str">
        <f ca="1">IF(LEN(C20)&gt;0,IFERROR(VLOOKUP(F20,INDIRECT(D20),2,FALSE),IF(ISERROR(FIND(".",F20)),"",F20)),"")</f>
        <v xml:space="preserve">    Item {0}: {1} = {2}</v>
      </c>
      <c r="H20" s="16"/>
      <c r="I20" s="16"/>
      <c r="J20" s="16"/>
    </row>
    <row r="21" spans="1:10" x14ac:dyDescent="0.25">
      <c r="A21" s="15" t="s">
        <v>48</v>
      </c>
      <c r="B21" s="15" t="s">
        <v>53</v>
      </c>
      <c r="C21" s="16">
        <f t="shared" si="7"/>
        <v>45</v>
      </c>
      <c r="D21" s="16" t="s">
        <v>50</v>
      </c>
      <c r="E21" s="16" t="str">
        <f t="shared" si="8"/>
        <v>REPORT_LABEL_ITEM_INDEX</v>
      </c>
      <c r="F21" s="16" t="str">
        <f t="shared" si="9"/>
        <v>REPORT_LABEL_ITEM_INDEX</v>
      </c>
      <c r="G21" s="16">
        <f ca="1">IF(LEN(C21)&gt;0,IFERROR(VLOOKUP(F21,INDIRECT(D21),2,FALSE),IF(ISERROR(FIND(".",F21)),"",F21)),"")</f>
        <v>1</v>
      </c>
      <c r="H21" s="16"/>
      <c r="I21" s="16"/>
      <c r="J21" s="16"/>
    </row>
    <row r="22" spans="1:10" x14ac:dyDescent="0.25">
      <c r="A22" s="15" t="s">
        <v>48</v>
      </c>
      <c r="B22" s="15" t="s">
        <v>54</v>
      </c>
      <c r="C22" s="16" t="str">
        <f t="shared" si="7"/>
        <v/>
      </c>
      <c r="D22" s="16" t="s">
        <v>50</v>
      </c>
      <c r="E22" s="16" t="str">
        <f t="shared" si="8"/>
        <v/>
      </c>
      <c r="F22" s="16" t="str">
        <f t="shared" si="9"/>
        <v/>
      </c>
      <c r="G22" s="16" t="str">
        <f ca="1">IF(LEN(C22)&gt;0,IFERROR(VLOOKUP(F22,INDIRECT(D22),2,FALSE),IF(ISERROR(FIND(".",F22)),"",F22)),"")</f>
        <v/>
      </c>
      <c r="H22" s="16"/>
      <c r="I22" s="16"/>
      <c r="J22" s="16"/>
    </row>
    <row r="23" spans="1:10" x14ac:dyDescent="0.25">
      <c r="A23" s="15" t="s">
        <v>48</v>
      </c>
      <c r="B23" s="15" t="s">
        <v>55</v>
      </c>
      <c r="C23" s="16">
        <f t="shared" si="7"/>
        <v>49</v>
      </c>
      <c r="D23" s="16" t="s">
        <v>50</v>
      </c>
      <c r="E23" s="16" t="str">
        <f t="shared" si="8"/>
        <v>REPORT_LABEL_ITEM_INDEX</v>
      </c>
      <c r="F23" s="16" t="str">
        <f t="shared" si="9"/>
        <v>REPORT_LABEL_ITEM_INDEX</v>
      </c>
      <c r="G23" s="17">
        <f ca="1">IF(LEN(C23)&gt;0,IFERROR(VLOOKUP(F23,INDIRECT(D23),2,FALSE),IF(ISERROR(FIND(".",F23)),"",F23)),"")</f>
        <v>1</v>
      </c>
      <c r="H23" s="16"/>
      <c r="I23" s="16"/>
      <c r="J23" s="16"/>
    </row>
    <row r="24" spans="1:10" x14ac:dyDescent="0.25">
      <c r="A24" s="15" t="s">
        <v>48</v>
      </c>
      <c r="B24" s="15" t="s">
        <v>56</v>
      </c>
      <c r="C24" s="16" t="str">
        <f t="shared" si="7"/>
        <v/>
      </c>
      <c r="D24" s="16" t="s">
        <v>50</v>
      </c>
      <c r="E24" s="16" t="str">
        <f t="shared" si="8"/>
        <v/>
      </c>
      <c r="F24" s="16" t="str">
        <f t="shared" si="9"/>
        <v/>
      </c>
      <c r="G24" s="17" t="str">
        <f ca="1">IF(LEN(C24)&gt;0,IFERROR(VLOOKUP(F24,INDIRECT(D24),2,FALSE),IF(ISERROR(FIND(".",F24)),"",F24)),"")</f>
        <v/>
      </c>
      <c r="H24" s="16"/>
      <c r="I24" s="16"/>
      <c r="J24" s="16"/>
    </row>
    <row r="25" spans="1:10" x14ac:dyDescent="0.25">
      <c r="A25" s="15" t="s">
        <v>48</v>
      </c>
      <c r="B25" s="15" t="s">
        <v>57</v>
      </c>
      <c r="C25" s="16">
        <f t="shared" si="7"/>
        <v>60</v>
      </c>
      <c r="D25" s="16" t="s">
        <v>50</v>
      </c>
      <c r="E25" s="16" t="str">
        <f t="shared" si="8"/>
        <v>s_astrLabelsOfVariousLengths )</v>
      </c>
      <c r="F25" s="16" t="str">
        <f t="shared" si="9"/>
        <v>)</v>
      </c>
      <c r="G25" s="17" t="str">
        <f ca="1">IF(LEN(C25)&gt;0,IFERROR(VLOOKUP(F25,INDIRECT(D25),2,FALSE),IF(ISERROR(FIND(".",F25)),"",F25)),"")</f>
        <v/>
      </c>
      <c r="H25" s="16"/>
      <c r="I25" s="16"/>
      <c r="J25" s="16"/>
    </row>
    <row r="26" spans="1:10" x14ac:dyDescent="0.25">
      <c r="A26" s="15" t="s">
        <v>48</v>
      </c>
      <c r="B26" s="15" t="s">
        <v>58</v>
      </c>
      <c r="C26" s="16">
        <f t="shared" si="7"/>
        <v>51</v>
      </c>
      <c r="D26" s="16" t="s">
        <v>50</v>
      </c>
      <c r="E26" s="16" t="str">
        <f t="shared" si="8"/>
        <v>FormatItem.Alignment.Left</v>
      </c>
      <c r="F26" s="16" t="str">
        <f t="shared" si="9"/>
        <v>FormatItem.Alignment.Left</v>
      </c>
      <c r="G26" s="17" t="str">
        <f ca="1">IF(LEN(C26)&gt;0,IFERROR(VLOOKUP(F26,INDIRECT(D26),2,FALSE),IF(ISERROR(FIND(".",F26)),"",F26)),"")</f>
        <v>FormatItem.Alignment.Left</v>
      </c>
      <c r="H26" s="16"/>
      <c r="I26" s="16"/>
      <c r="J26" s="16"/>
    </row>
    <row r="27" spans="1:10" x14ac:dyDescent="0.25">
      <c r="A27" s="15" t="s">
        <v>48</v>
      </c>
      <c r="B27" s="15" t="s">
        <v>59</v>
      </c>
      <c r="C27" s="16">
        <f t="shared" si="7"/>
        <v>30</v>
      </c>
      <c r="D27" s="16" t="s">
        <v>50</v>
      </c>
      <c r="E27" s="16" t="str">
        <f t="shared" si="8"/>
        <v>null</v>
      </c>
      <c r="F27" s="16" t="str">
        <f t="shared" si="9"/>
        <v>null</v>
      </c>
      <c r="G27" s="17" t="str">
        <f ca="1">IF(LEN(C27)&gt;0,IFERROR(VLOOKUP(F27,INDIRECT(D27),2,FALSE),IF(ISERROR(FIND(".",F27)),"",F27)),"")</f>
        <v/>
      </c>
      <c r="H27" s="16"/>
      <c r="I27" s="16"/>
      <c r="J27" s="16"/>
    </row>
    <row r="28" spans="1:10" x14ac:dyDescent="0.25">
      <c r="A28" s="5" t="s">
        <v>23</v>
      </c>
      <c r="B28" s="5" t="s">
        <v>68</v>
      </c>
      <c r="C28" s="3" t="str">
        <f t="shared" si="7"/>
        <v/>
      </c>
      <c r="D28" s="3" t="s">
        <v>67</v>
      </c>
      <c r="E28" s="3" t="str">
        <f t="shared" si="8"/>
        <v/>
      </c>
      <c r="F28" s="3" t="str">
        <f t="shared" si="9"/>
        <v/>
      </c>
      <c r="G28" s="18" t="str">
        <f t="shared" ref="G28:G36" ca="1" si="10">IF(LEN(C28)&gt;0,IFERROR(VLOOKUP(F28,INDIRECT(D28),2,FALSE),IF(ISERROR(FIND(".",F28)),"",F28)),"")</f>
        <v/>
      </c>
      <c r="H28" s="3"/>
      <c r="I28" s="3"/>
      <c r="J28" s="3"/>
    </row>
    <row r="29" spans="1:10" x14ac:dyDescent="0.25">
      <c r="A29" s="5" t="s">
        <v>23</v>
      </c>
      <c r="B29" s="5" t="s">
        <v>69</v>
      </c>
      <c r="C29" s="3">
        <f t="shared" si="7"/>
        <v>23</v>
      </c>
      <c r="D29" s="3" t="s">
        <v>67</v>
      </c>
      <c r="E29" s="3" t="str">
        <f t="shared" si="8"/>
        <v>int pintItemIndex</v>
      </c>
      <c r="F29" s="3" t="str">
        <f t="shared" si="9"/>
        <v>pintItemIndex</v>
      </c>
      <c r="G29" s="18">
        <f t="shared" ca="1" si="10"/>
        <v>1</v>
      </c>
      <c r="H29" s="3"/>
      <c r="I29" s="3"/>
      <c r="J29" s="3"/>
    </row>
    <row r="30" spans="1:10" x14ac:dyDescent="0.25">
      <c r="A30" s="5" t="s">
        <v>23</v>
      </c>
      <c r="B30" s="5" t="s">
        <v>70</v>
      </c>
      <c r="C30" s="3">
        <f t="shared" si="7"/>
        <v>26</v>
      </c>
      <c r="D30" s="3" t="s">
        <v>67</v>
      </c>
      <c r="E30" s="3" t="str">
        <f t="shared" si="8"/>
        <v>int pintMaximumWidth</v>
      </c>
      <c r="F30" s="3" t="str">
        <f t="shared" si="9"/>
        <v>pintMaximumWidth</v>
      </c>
      <c r="G30" s="18">
        <f t="shared" ca="1" si="10"/>
        <v>8</v>
      </c>
      <c r="H30" s="3"/>
      <c r="I30" s="3"/>
      <c r="J30" s="3"/>
    </row>
    <row r="31" spans="1:10" x14ac:dyDescent="0.25">
      <c r="A31" s="5" t="s">
        <v>23</v>
      </c>
      <c r="B31" s="5" t="s">
        <v>71</v>
      </c>
      <c r="C31" s="3">
        <f t="shared" si="7"/>
        <v>29</v>
      </c>
      <c r="D31" s="3" t="s">
        <v>67</v>
      </c>
      <c r="E31" s="3" t="str">
        <f t="shared" si="8"/>
        <v>Alignment penmAlignment</v>
      </c>
      <c r="F31" s="3" t="str">
        <f t="shared" si="9"/>
        <v>penmAlignment</v>
      </c>
      <c r="G31" s="18" t="str">
        <f t="shared" ca="1" si="10"/>
        <v>Left</v>
      </c>
      <c r="H31" s="3"/>
      <c r="I31" s="3"/>
      <c r="J31" s="3"/>
    </row>
    <row r="32" spans="1:10" x14ac:dyDescent="0.25">
      <c r="A32" s="5" t="s">
        <v>23</v>
      </c>
      <c r="B32" s="5" t="s">
        <v>72</v>
      </c>
      <c r="C32" s="3">
        <f t="shared" si="7"/>
        <v>29</v>
      </c>
      <c r="D32" s="3" t="s">
        <v>67</v>
      </c>
      <c r="E32" s="3" t="str">
        <f t="shared" si="8"/>
        <v>string pstrFormatString</v>
      </c>
      <c r="F32" s="3" t="str">
        <f t="shared" si="9"/>
        <v>pstrFormatString</v>
      </c>
      <c r="G32" s="18" t="str">
        <f t="shared" ca="1" si="10"/>
        <v>null</v>
      </c>
      <c r="H32" s="3"/>
      <c r="I32" s="3"/>
      <c r="J32" s="3"/>
    </row>
    <row r="33" spans="1:10" x14ac:dyDescent="0.25">
      <c r="A33" s="15" t="s">
        <v>76</v>
      </c>
      <c r="B33" s="15" t="s">
        <v>73</v>
      </c>
      <c r="C33" s="16" t="str">
        <f t="shared" si="7"/>
        <v/>
      </c>
      <c r="D33" s="16" t="s">
        <v>82</v>
      </c>
      <c r="E33" s="16" t="str">
        <f t="shared" si="8"/>
        <v/>
      </c>
      <c r="F33" s="16" t="str">
        <f t="shared" si="9"/>
        <v/>
      </c>
      <c r="G33" s="17" t="str">
        <f t="shared" ca="1" si="10"/>
        <v/>
      </c>
      <c r="H33" s="16"/>
      <c r="I33" s="16"/>
      <c r="J33" s="16"/>
    </row>
    <row r="34" spans="1:10" x14ac:dyDescent="0.25">
      <c r="A34" s="15" t="s">
        <v>76</v>
      </c>
      <c r="B34" s="15" t="s">
        <v>74</v>
      </c>
      <c r="C34" s="16">
        <f t="shared" si="7"/>
        <v>31</v>
      </c>
      <c r="D34" s="16" t="s">
        <v>82</v>
      </c>
      <c r="E34" s="16" t="str">
        <f t="shared" si="8"/>
        <v>string pstrFormat</v>
      </c>
      <c r="F34" s="16" t="str">
        <f t="shared" si="9"/>
        <v>pstrFormat</v>
      </c>
      <c r="G34" s="17" t="str">
        <f t="shared" ca="1" si="10"/>
        <v xml:space="preserve">    Item {0}: {1} = {2}</v>
      </c>
      <c r="H34" s="16"/>
      <c r="I34" s="16"/>
      <c r="J34" s="16"/>
    </row>
    <row r="35" spans="1:10" x14ac:dyDescent="0.25">
      <c r="A35" s="15" t="s">
        <v>76</v>
      </c>
      <c r="B35" s="15" t="s">
        <v>32</v>
      </c>
      <c r="C35" s="16">
        <f t="shared" si="7"/>
        <v>31</v>
      </c>
      <c r="D35" s="16" t="s">
        <v>82</v>
      </c>
      <c r="E35" s="16" t="str">
        <f t="shared" si="8"/>
        <v>int pintItemIndex</v>
      </c>
      <c r="F35" s="16" t="str">
        <f t="shared" si="9"/>
        <v>pintItemIndex</v>
      </c>
      <c r="G35" s="17">
        <f t="shared" ca="1" si="10"/>
        <v>1</v>
      </c>
      <c r="H35" s="16"/>
      <c r="I35" s="16"/>
      <c r="J35" s="16"/>
    </row>
    <row r="36" spans="1:10" x14ac:dyDescent="0.25">
      <c r="A36" s="15" t="s">
        <v>76</v>
      </c>
      <c r="B36" s="15" t="s">
        <v>75</v>
      </c>
      <c r="C36" s="16">
        <f t="shared" si="7"/>
        <v>32</v>
      </c>
      <c r="D36" s="16" t="s">
        <v>82</v>
      </c>
      <c r="E36" s="16" t="str">
        <f t="shared" si="8"/>
        <v>string pstrUpgrade</v>
      </c>
      <c r="F36" s="16" t="str">
        <f t="shared" si="9"/>
        <v>pstrUpgrade</v>
      </c>
      <c r="G36" s="17" t="str">
        <f t="shared" ca="1" si="10"/>
        <v>{1,-8}</v>
      </c>
      <c r="H36" s="16"/>
      <c r="I36" s="16"/>
      <c r="J36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5</vt:i4>
      </vt:variant>
    </vt:vector>
  </HeadingPairs>
  <TitlesOfParts>
    <vt:vector size="7" baseType="lpstr">
      <vt:lpstr>Locals</vt:lpstr>
      <vt:lpstr>Arguments</vt:lpstr>
      <vt:lpstr>Stop_1_Locals</vt:lpstr>
      <vt:lpstr>Stop_2_Locals</vt:lpstr>
      <vt:lpstr>Stop_3_Locals</vt:lpstr>
      <vt:lpstr>Stop_4_Locals</vt:lpstr>
      <vt:lpstr>Stop_5_Locals</vt:lpstr>
    </vt:vector>
  </TitlesOfParts>
  <Company>Simple Soft Services,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A. Gray</dc:creator>
  <cp:lastModifiedBy>David A. Gray</cp:lastModifiedBy>
  <dcterms:created xsi:type="dcterms:W3CDTF">2014-09-23T01:33:46Z</dcterms:created>
  <dcterms:modified xsi:type="dcterms:W3CDTF">2014-09-23T06:36:42Z</dcterms:modified>
</cp:coreProperties>
</file>