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70" windowWidth="14640" windowHeight="7935" firstSheet="17" activeTab="20"/>
  </bookViews>
  <sheets>
    <sheet name="Index" sheetId="11" r:id="rId1"/>
    <sheet name="MD5 Digest Cases" sheetId="9" r:id="rId2"/>
    <sheet name="DE Doc'TR Listing Splitter" sheetId="1" r:id="rId3"/>
    <sheet name="MergeNewItemsIntoArray" sheetId="2" r:id="rId4"/>
    <sheet name="MergeNewItemsIntoArray_IMPORT" sheetId="6" r:id="rId5"/>
    <sheet name="Master" sheetId="3" r:id="rId6"/>
    <sheet name="Additions" sheetId="4" r:id="rId7"/>
    <sheet name="MergeNewItemsIntoArray_Report_1" sheetId="5" r:id="rId8"/>
    <sheet name="MergeNewItemsIntoArray_Report_2" sheetId="7" r:id="rId9"/>
    <sheet name="TestSelections" sheetId="10" r:id="rId10"/>
    <sheet name="AdjustToMaximumWidth Cases" sheetId="12" r:id="rId11"/>
    <sheet name="FormatStringParser State Table" sheetId="13" r:id="rId12"/>
    <sheet name="Populated FormatStringParser" sheetId="14" r:id="rId13"/>
    <sheet name="GetPaddedLabel XREF" sheetId="15" r:id="rId14"/>
    <sheet name="ComputeWidthofWidestLabel XREF" sheetId="16" r:id="rId15"/>
    <sheet name="ComputeWidthOfWidestValue XREF" sheetId="17" r:id="rId16"/>
    <sheet name="GetPaddedValue XREF" sheetId="18" r:id="rId17"/>
    <sheet name="FormatDetail XREF" sheetId="19" r:id="rId18"/>
    <sheet name="Plural XREF" sheetId="20" r:id="rId19"/>
    <sheet name="Relocated String Reources" sheetId="21" r:id="rId20"/>
    <sheet name="UltrEdit Find In Files Report" sheetId="23" r:id="rId21"/>
    <sheet name="Locals Grid" sheetId="22" r:id="rId22"/>
  </sheets>
  <externalReferences>
    <externalReference r:id="rId23"/>
  </externalReferences>
  <definedNames>
    <definedName name="__Workbook_Index">Index!$A$1</definedName>
    <definedName name="ARRAY_LIST_ORDINAL_TO_SUBSCRIPT">'AdjustToMaximumWidth Cases'!$C$18</definedName>
    <definedName name="Backup">'DE Doc''TR Listing Splitter'!$C$1</definedName>
    <definedName name="Block_Size">'MD5 Digest Cases'!$B$2</definedName>
    <definedName name="comment_begin" comment="The line comment begins just past the end of this." localSheetId="9">TestSelections!$H$1</definedName>
    <definedName name="const_string" comment="The name of the constant begins at the next character that isn't white space." localSheetId="9">TestSelections!$B$2</definedName>
    <definedName name="Data_Directory">MergeNewItemsIntoArray!$E$1</definedName>
    <definedName name="DE_Doc_TR_Input_File">'DE Doc''TR Listing Splitter'!$C$4</definedName>
    <definedName name="DE_Doc_TR_Shell_Script">'DE Doc''TR Listing Splitter'!$C$5</definedName>
    <definedName name="DESIRED_WIDTH_MAXIMUM">'AdjustToMaximumWidth Cases'!$C$13</definedName>
    <definedName name="DESIRED_WIDTH_MAXIMUM_____DESIRED_WIDTH_MINIMUM___StandardConstants.ARRAY_LIST_ORDINAL_TO_SUBSCRIPT">'AdjustToMaximumWidth Cases'!$E$33</definedName>
    <definedName name="DESIRED_WIDTH_MAXIMUM___DESIRED_WIDTH_MINIMUM">'AdjustToMaximumWidth Cases'!$E$33</definedName>
    <definedName name="DESIRED_WIDTH_MINIMUM">'AdjustToMaximumWidth Cases'!$C$12</definedName>
    <definedName name="DESIRED_WIDTH_MINIMUM___ARRAY_LIST_ORDINAL_TO_SUBSCRIPT">'AdjustToMaximumWidth Cases'!#REF!</definedName>
    <definedName name="Initial_Primary_Input_File">MergeNewItemsIntoArray!$E$3</definedName>
    <definedName name="Input_Files">'DE Doc''TR Listing Splitter'!$C$2</definedName>
    <definedName name="ITEM_NUMBER_MAXIMUM">'AdjustToMaximumWidth Cases'!$C$15</definedName>
    <definedName name="ITEM_NUMBER_MAXIMUM___ITEM_NUMBER_MINIMUM">'AdjustToMaximumWidth Cases'!$D$27:$E$27</definedName>
    <definedName name="ITEM_NUMBER_MAXIMUM___ITEM_NUMBER_MINIMUM_____ARRAY_LIST_ORDINAL_TO_SUBSCRIPT">'AdjustToMaximumWidth Cases'!#REF!</definedName>
    <definedName name="ITEM_NUMBER_MINIMUM">'AdjustToMaximumWidth Cases'!$C$14</definedName>
    <definedName name="lngTotalTests">'AdjustToMaximumWidth Cases'!$E$38</definedName>
    <definedName name="MergeNewItemsIntoArray_Summary_20130105_165106" localSheetId="4">MergeNewItemsIntoArray_IMPORT!$A$1:$E$31</definedName>
    <definedName name="Output_Directory">'DE Doc''TR Listing Splitter'!$C$3</definedName>
    <definedName name="s_aenmAlignment.Length">'AdjustToMaximumWidth Cases'!$C$16</definedName>
    <definedName name="s_astrFormats.Length">'AdjustToMaximumWidth Cases'!$C$17</definedName>
    <definedName name="Test_Data_Repository">'MD5 Digest Cases'!$B$1</definedName>
    <definedName name="value_begin" comment="Value actually starts just past the end of this substring." localSheetId="9">TestSelections!$D$1</definedName>
    <definedName name="value_end" comment="Value actually ends just before this substring." localSheetId="9">TestSelections!$E$1</definedName>
  </definedNames>
  <calcPr calcId="145621"/>
</workbook>
</file>

<file path=xl/calcChain.xml><?xml version="1.0" encoding="utf-8"?>
<calcChain xmlns="http://schemas.openxmlformats.org/spreadsheetml/2006/main">
  <c r="B94" i="23" l="1"/>
  <c r="B91" i="23"/>
  <c r="B89" i="23"/>
  <c r="B81" i="23"/>
  <c r="B12" i="23"/>
  <c r="B95" i="23" s="1"/>
  <c r="D3" i="23"/>
  <c r="G3" i="23"/>
  <c r="I3" i="23"/>
  <c r="E4" i="23"/>
  <c r="H4" i="23"/>
  <c r="D5" i="23"/>
  <c r="G5" i="23"/>
  <c r="I5" i="23"/>
  <c r="E6" i="23"/>
  <c r="H6" i="23"/>
  <c r="D7" i="23"/>
  <c r="G7" i="23"/>
  <c r="I7" i="23"/>
  <c r="E8" i="23"/>
  <c r="H8" i="23"/>
  <c r="D9" i="23"/>
  <c r="G9" i="23"/>
  <c r="I9" i="23"/>
  <c r="E10" i="23"/>
  <c r="H10" i="23"/>
  <c r="D11" i="23"/>
  <c r="G11" i="23"/>
  <c r="I11" i="23"/>
  <c r="E13" i="23"/>
  <c r="H13" i="23"/>
  <c r="D14" i="23"/>
  <c r="G14" i="23"/>
  <c r="I14" i="23"/>
  <c r="E15" i="23"/>
  <c r="H15" i="23"/>
  <c r="D16" i="23"/>
  <c r="G16" i="23"/>
  <c r="I16" i="23"/>
  <c r="E17" i="23"/>
  <c r="H17" i="23"/>
  <c r="D18" i="23"/>
  <c r="G18" i="23"/>
  <c r="I18" i="23"/>
  <c r="E19" i="23"/>
  <c r="H19" i="23"/>
  <c r="D20" i="23"/>
  <c r="G20" i="23"/>
  <c r="I20" i="23"/>
  <c r="E21" i="23"/>
  <c r="H21" i="23"/>
  <c r="D22" i="23"/>
  <c r="G22" i="23"/>
  <c r="I22" i="23"/>
  <c r="E23" i="23"/>
  <c r="H23" i="23"/>
  <c r="D24" i="23"/>
  <c r="G24" i="23"/>
  <c r="I24" i="23"/>
  <c r="E25" i="23"/>
  <c r="H25" i="23"/>
  <c r="D26" i="23"/>
  <c r="G26" i="23"/>
  <c r="I26" i="23"/>
  <c r="E27" i="23"/>
  <c r="H27" i="23"/>
  <c r="D28" i="23"/>
  <c r="G28" i="23"/>
  <c r="I28" i="23"/>
  <c r="E29" i="23"/>
  <c r="H29" i="23"/>
  <c r="D30" i="23"/>
  <c r="G30" i="23"/>
  <c r="I30" i="23"/>
  <c r="E31" i="23"/>
  <c r="H31" i="23"/>
  <c r="D32" i="23"/>
  <c r="G32" i="23"/>
  <c r="I32" i="23"/>
  <c r="E33" i="23"/>
  <c r="H33" i="23"/>
  <c r="D34" i="23"/>
  <c r="G34" i="23"/>
  <c r="I34" i="23"/>
  <c r="E35" i="23"/>
  <c r="H35" i="23"/>
  <c r="D36" i="23"/>
  <c r="G36" i="23"/>
  <c r="I36" i="23"/>
  <c r="E37" i="23"/>
  <c r="H37" i="23"/>
  <c r="D38" i="23"/>
  <c r="G38" i="23"/>
  <c r="I38" i="23"/>
  <c r="E39" i="23"/>
  <c r="H39" i="23"/>
  <c r="D40" i="23"/>
  <c r="G40" i="23"/>
  <c r="I40" i="23"/>
  <c r="E41" i="23"/>
  <c r="H41" i="23"/>
  <c r="D42" i="23"/>
  <c r="G42" i="23"/>
  <c r="I42" i="23"/>
  <c r="E43" i="23"/>
  <c r="H43" i="23"/>
  <c r="D44" i="23"/>
  <c r="G44" i="23"/>
  <c r="I44" i="23"/>
  <c r="E45" i="23"/>
  <c r="H45" i="23"/>
  <c r="D46" i="23"/>
  <c r="G46" i="23"/>
  <c r="I46" i="23"/>
  <c r="E47" i="23"/>
  <c r="H47" i="23"/>
  <c r="D48" i="23"/>
  <c r="G48" i="23"/>
  <c r="I48" i="23"/>
  <c r="E49" i="23"/>
  <c r="H49" i="23"/>
  <c r="D50" i="23"/>
  <c r="G50" i="23"/>
  <c r="I50" i="23"/>
  <c r="E51" i="23"/>
  <c r="H51" i="23"/>
  <c r="D52" i="23"/>
  <c r="G52" i="23"/>
  <c r="I52" i="23"/>
  <c r="E53" i="23"/>
  <c r="H53" i="23"/>
  <c r="D54" i="23"/>
  <c r="G54" i="23"/>
  <c r="E3" i="23"/>
  <c r="H3" i="23"/>
  <c r="D4" i="23"/>
  <c r="G4" i="23"/>
  <c r="I4" i="23"/>
  <c r="E5" i="23"/>
  <c r="H5" i="23"/>
  <c r="D6" i="23"/>
  <c r="G6" i="23"/>
  <c r="I6" i="23"/>
  <c r="E7" i="23"/>
  <c r="H7" i="23"/>
  <c r="D8" i="23"/>
  <c r="G8" i="23"/>
  <c r="I8" i="23"/>
  <c r="E9" i="23"/>
  <c r="H9" i="23"/>
  <c r="D10" i="23"/>
  <c r="G10" i="23"/>
  <c r="I10" i="23"/>
  <c r="E11" i="23"/>
  <c r="H11" i="23"/>
  <c r="D13" i="23"/>
  <c r="G13" i="23"/>
  <c r="I13" i="23"/>
  <c r="E14" i="23"/>
  <c r="H14" i="23"/>
  <c r="D15" i="23"/>
  <c r="G15" i="23"/>
  <c r="I15" i="23"/>
  <c r="E16" i="23"/>
  <c r="H16" i="23"/>
  <c r="D17" i="23"/>
  <c r="G17" i="23"/>
  <c r="I17" i="23"/>
  <c r="E18" i="23"/>
  <c r="H18" i="23"/>
  <c r="D19" i="23"/>
  <c r="G19" i="23"/>
  <c r="I19" i="23"/>
  <c r="E20" i="23"/>
  <c r="H20" i="23"/>
  <c r="D21" i="23"/>
  <c r="G21" i="23"/>
  <c r="I21" i="23"/>
  <c r="E22" i="23"/>
  <c r="H22" i="23"/>
  <c r="D23" i="23"/>
  <c r="G23" i="23"/>
  <c r="I23" i="23"/>
  <c r="E24" i="23"/>
  <c r="H24" i="23"/>
  <c r="D25" i="23"/>
  <c r="G25" i="23"/>
  <c r="I25" i="23"/>
  <c r="E26" i="23"/>
  <c r="H26" i="23"/>
  <c r="D27" i="23"/>
  <c r="G27" i="23"/>
  <c r="I27" i="23"/>
  <c r="E28" i="23"/>
  <c r="H28" i="23"/>
  <c r="D29" i="23"/>
  <c r="G29" i="23"/>
  <c r="I29" i="23"/>
  <c r="E30" i="23"/>
  <c r="H30" i="23"/>
  <c r="D31" i="23"/>
  <c r="G31" i="23"/>
  <c r="I31" i="23"/>
  <c r="E32" i="23"/>
  <c r="H32" i="23"/>
  <c r="D33" i="23"/>
  <c r="G33" i="23"/>
  <c r="I33" i="23"/>
  <c r="E34" i="23"/>
  <c r="H34" i="23"/>
  <c r="D35" i="23"/>
  <c r="G35" i="23"/>
  <c r="I35" i="23"/>
  <c r="E36" i="23"/>
  <c r="H36" i="23"/>
  <c r="D37" i="23"/>
  <c r="G37" i="23"/>
  <c r="I37" i="23"/>
  <c r="E38" i="23"/>
  <c r="H38" i="23"/>
  <c r="D39" i="23"/>
  <c r="G39" i="23"/>
  <c r="I39" i="23"/>
  <c r="E40" i="23"/>
  <c r="H40" i="23"/>
  <c r="D41" i="23"/>
  <c r="G41" i="23"/>
  <c r="I41" i="23"/>
  <c r="E42" i="23"/>
  <c r="H42" i="23"/>
  <c r="D43" i="23"/>
  <c r="G43" i="23"/>
  <c r="I43" i="23"/>
  <c r="E44" i="23"/>
  <c r="H44" i="23"/>
  <c r="D45" i="23"/>
  <c r="G45" i="23"/>
  <c r="I45" i="23"/>
  <c r="E46" i="23"/>
  <c r="H46" i="23"/>
  <c r="D47" i="23"/>
  <c r="G47" i="23"/>
  <c r="I47" i="23"/>
  <c r="E48" i="23"/>
  <c r="H48" i="23"/>
  <c r="D49" i="23"/>
  <c r="G49" i="23"/>
  <c r="I49" i="23"/>
  <c r="E50" i="23"/>
  <c r="H50" i="23"/>
  <c r="D51" i="23"/>
  <c r="G51" i="23"/>
  <c r="I51" i="23"/>
  <c r="E52" i="23"/>
  <c r="D53" i="23"/>
  <c r="I53" i="23"/>
  <c r="H54" i="23"/>
  <c r="D55" i="23"/>
  <c r="G55" i="23"/>
  <c r="I55" i="23"/>
  <c r="E56" i="23"/>
  <c r="H56" i="23"/>
  <c r="D57" i="23"/>
  <c r="G57" i="23"/>
  <c r="I57" i="23"/>
  <c r="E58" i="23"/>
  <c r="H58" i="23"/>
  <c r="D59" i="23"/>
  <c r="G59" i="23"/>
  <c r="I59" i="23"/>
  <c r="E60" i="23"/>
  <c r="H60" i="23"/>
  <c r="D61" i="23"/>
  <c r="G61" i="23"/>
  <c r="I61" i="23"/>
  <c r="E62" i="23"/>
  <c r="H62" i="23"/>
  <c r="D63" i="23"/>
  <c r="G63" i="23"/>
  <c r="I63" i="23"/>
  <c r="E64" i="23"/>
  <c r="H64" i="23"/>
  <c r="D65" i="23"/>
  <c r="G65" i="23"/>
  <c r="I65" i="23"/>
  <c r="E66" i="23"/>
  <c r="H66" i="23"/>
  <c r="D67" i="23"/>
  <c r="G67" i="23"/>
  <c r="I67" i="23"/>
  <c r="E68" i="23"/>
  <c r="H68" i="23"/>
  <c r="D69" i="23"/>
  <c r="G69" i="23"/>
  <c r="I69" i="23"/>
  <c r="E70" i="23"/>
  <c r="H70" i="23"/>
  <c r="D71" i="23"/>
  <c r="G71" i="23"/>
  <c r="I71" i="23"/>
  <c r="E72" i="23"/>
  <c r="H72" i="23"/>
  <c r="D73" i="23"/>
  <c r="G73" i="23"/>
  <c r="I73" i="23"/>
  <c r="E74" i="23"/>
  <c r="H74" i="23"/>
  <c r="D75" i="23"/>
  <c r="G75" i="23"/>
  <c r="I75" i="23"/>
  <c r="E76" i="23"/>
  <c r="H76" i="23"/>
  <c r="D77" i="23"/>
  <c r="G77" i="23"/>
  <c r="I77" i="23"/>
  <c r="E78" i="23"/>
  <c r="H78" i="23"/>
  <c r="D79" i="23"/>
  <c r="G79" i="23"/>
  <c r="I79" i="23"/>
  <c r="E80" i="23"/>
  <c r="H80" i="23"/>
  <c r="D82" i="23"/>
  <c r="G82" i="23"/>
  <c r="I82" i="23"/>
  <c r="E83" i="23"/>
  <c r="H83" i="23"/>
  <c r="D84" i="23"/>
  <c r="G84" i="23"/>
  <c r="I84" i="23"/>
  <c r="E85" i="23"/>
  <c r="H85" i="23"/>
  <c r="G86" i="23"/>
  <c r="I86" i="23"/>
  <c r="H87" i="23"/>
  <c r="G88" i="23"/>
  <c r="E90" i="23"/>
  <c r="D92" i="23"/>
  <c r="I92" i="23"/>
  <c r="H93" i="23"/>
  <c r="H52" i="23"/>
  <c r="G53" i="23"/>
  <c r="E54" i="23"/>
  <c r="I54" i="23"/>
  <c r="E55" i="23"/>
  <c r="H55" i="23"/>
  <c r="D56" i="23"/>
  <c r="G56" i="23"/>
  <c r="I56" i="23"/>
  <c r="E57" i="23"/>
  <c r="H57" i="23"/>
  <c r="D58" i="23"/>
  <c r="G58" i="23"/>
  <c r="I58" i="23"/>
  <c r="E59" i="23"/>
  <c r="H59" i="23"/>
  <c r="D60" i="23"/>
  <c r="G60" i="23"/>
  <c r="I60" i="23"/>
  <c r="E61" i="23"/>
  <c r="H61" i="23"/>
  <c r="D62" i="23"/>
  <c r="G62" i="23"/>
  <c r="I62" i="23"/>
  <c r="E63" i="23"/>
  <c r="H63" i="23"/>
  <c r="D64" i="23"/>
  <c r="G64" i="23"/>
  <c r="I64" i="23"/>
  <c r="E65" i="23"/>
  <c r="H65" i="23"/>
  <c r="D66" i="23"/>
  <c r="G66" i="23"/>
  <c r="I66" i="23"/>
  <c r="E67" i="23"/>
  <c r="H67" i="23"/>
  <c r="D68" i="23"/>
  <c r="G68" i="23"/>
  <c r="I68" i="23"/>
  <c r="E69" i="23"/>
  <c r="H69" i="23"/>
  <c r="D70" i="23"/>
  <c r="G70" i="23"/>
  <c r="I70" i="23"/>
  <c r="E71" i="23"/>
  <c r="H71" i="23"/>
  <c r="D72" i="23"/>
  <c r="G72" i="23"/>
  <c r="I72" i="23"/>
  <c r="E73" i="23"/>
  <c r="H73" i="23"/>
  <c r="D74" i="23"/>
  <c r="G74" i="23"/>
  <c r="I74" i="23"/>
  <c r="E75" i="23"/>
  <c r="H75" i="23"/>
  <c r="D76" i="23"/>
  <c r="G76" i="23"/>
  <c r="I76" i="23"/>
  <c r="E77" i="23"/>
  <c r="H77" i="23"/>
  <c r="D78" i="23"/>
  <c r="G78" i="23"/>
  <c r="I78" i="23"/>
  <c r="E79" i="23"/>
  <c r="H79" i="23"/>
  <c r="D80" i="23"/>
  <c r="G80" i="23"/>
  <c r="I80" i="23"/>
  <c r="E82" i="23"/>
  <c r="H82" i="23"/>
  <c r="D83" i="23"/>
  <c r="G83" i="23"/>
  <c r="I83" i="23"/>
  <c r="E84" i="23"/>
  <c r="H84" i="23"/>
  <c r="D85" i="23"/>
  <c r="G85" i="23"/>
  <c r="I85" i="23"/>
  <c r="E86" i="23"/>
  <c r="H86" i="23"/>
  <c r="D87" i="23"/>
  <c r="G87" i="23"/>
  <c r="I87" i="23"/>
  <c r="E88" i="23"/>
  <c r="H88" i="23"/>
  <c r="D90" i="23"/>
  <c r="G90" i="23"/>
  <c r="I90" i="23"/>
  <c r="E92" i="23"/>
  <c r="H92" i="23"/>
  <c r="D93" i="23"/>
  <c r="G93" i="23"/>
  <c r="I93" i="23"/>
  <c r="D86" i="23"/>
  <c r="E87" i="23"/>
  <c r="D88" i="23"/>
  <c r="I88" i="23"/>
  <c r="H90" i="23"/>
  <c r="G92" i="23"/>
  <c r="E93" i="23"/>
  <c r="D2" i="23"/>
  <c r="E2" i="23"/>
  <c r="G2" i="23"/>
  <c r="H2" i="23"/>
  <c r="I2" i="23"/>
  <c r="I91" i="23" l="1"/>
  <c r="I94" i="23"/>
  <c r="I89" i="23"/>
  <c r="I81" i="23"/>
  <c r="I12" i="23"/>
  <c r="I95" i="23" s="1"/>
  <c r="H27" i="22"/>
  <c r="H25" i="22"/>
  <c r="E25" i="20" l="1"/>
  <c r="E24" i="20"/>
  <c r="E18" i="20"/>
  <c r="E5" i="20"/>
  <c r="F24" i="20"/>
  <c r="F18" i="20"/>
  <c r="F5" i="20"/>
  <c r="F25" i="20" s="1"/>
  <c r="E10" i="20"/>
  <c r="E7" i="20"/>
  <c r="E13" i="20"/>
  <c r="E4" i="20"/>
  <c r="E12" i="20"/>
  <c r="E20" i="20"/>
  <c r="E15" i="20"/>
  <c r="E21" i="20"/>
  <c r="E6" i="20"/>
  <c r="E9" i="20"/>
  <c r="E23" i="20"/>
  <c r="E8" i="20"/>
  <c r="E14" i="20"/>
  <c r="E11" i="20"/>
  <c r="E17" i="20"/>
  <c r="E2" i="20"/>
  <c r="E16" i="20"/>
  <c r="E3" i="20"/>
  <c r="E19" i="20"/>
  <c r="E22" i="20"/>
  <c r="H54" i="13" l="1"/>
  <c r="H53" i="13"/>
  <c r="H51" i="13"/>
  <c r="H50" i="13"/>
  <c r="H49" i="13"/>
  <c r="H48" i="13"/>
  <c r="H47" i="13"/>
  <c r="H46" i="13"/>
  <c r="G57" i="13"/>
  <c r="G56" i="13"/>
  <c r="G54" i="13"/>
  <c r="G53" i="13"/>
  <c r="G51" i="13"/>
  <c r="G50" i="13"/>
  <c r="G49" i="13"/>
  <c r="G48" i="13"/>
  <c r="G47" i="13"/>
  <c r="G46" i="13"/>
  <c r="B54" i="13"/>
  <c r="C54" i="13" s="1"/>
  <c r="B53" i="13"/>
  <c r="C53" i="13" s="1"/>
  <c r="B52" i="13"/>
  <c r="B51" i="13"/>
  <c r="D51" i="13" s="1"/>
  <c r="B50" i="13"/>
  <c r="D50" i="13" s="1"/>
  <c r="B49" i="13"/>
  <c r="D49" i="13" s="1"/>
  <c r="B48" i="13"/>
  <c r="D48" i="13" s="1"/>
  <c r="B47" i="13"/>
  <c r="D47" i="13" s="1"/>
  <c r="B46" i="13"/>
  <c r="D46" i="13" s="1"/>
  <c r="G74" i="13"/>
  <c r="H74" i="13" s="1"/>
  <c r="G72" i="13"/>
  <c r="H72" i="13" s="1"/>
  <c r="G71" i="13"/>
  <c r="H71" i="13" s="1"/>
  <c r="G70" i="13"/>
  <c r="H70" i="13" s="1"/>
  <c r="G69" i="13"/>
  <c r="H69" i="13" s="1"/>
  <c r="G68" i="13"/>
  <c r="H68" i="13" s="1"/>
  <c r="G66" i="13"/>
  <c r="H66" i="13" s="1"/>
  <c r="G65" i="13"/>
  <c r="H65" i="13" s="1"/>
  <c r="G64" i="13"/>
  <c r="H64" i="13" s="1"/>
  <c r="G63" i="13"/>
  <c r="H63" i="13" s="1"/>
  <c r="G62" i="13"/>
  <c r="H62" i="13" s="1"/>
  <c r="G60" i="13"/>
  <c r="H60" i="13" s="1"/>
  <c r="G59" i="13"/>
  <c r="H59" i="13" s="1"/>
  <c r="G58" i="13"/>
  <c r="H58" i="13" s="1"/>
  <c r="H57" i="13"/>
  <c r="H56" i="13"/>
  <c r="G44" i="13"/>
  <c r="H44" i="13" s="1"/>
  <c r="G43" i="13"/>
  <c r="H43" i="13" s="1"/>
  <c r="G42" i="13"/>
  <c r="H42" i="13" s="1"/>
  <c r="G41" i="13"/>
  <c r="H41" i="13" s="1"/>
  <c r="G40" i="13"/>
  <c r="H40" i="13" s="1"/>
  <c r="G38" i="13"/>
  <c r="H38" i="13" s="1"/>
  <c r="G37" i="13"/>
  <c r="H37" i="13" s="1"/>
  <c r="G36" i="13"/>
  <c r="H36" i="13" s="1"/>
  <c r="G35" i="13"/>
  <c r="H35" i="13" s="1"/>
  <c r="G34" i="13"/>
  <c r="H34" i="13" s="1"/>
  <c r="G32" i="13"/>
  <c r="H32" i="13" s="1"/>
  <c r="G31" i="13"/>
  <c r="H31" i="13" s="1"/>
  <c r="G30" i="13"/>
  <c r="H30" i="13" s="1"/>
  <c r="G29" i="13"/>
  <c r="H29" i="13" s="1"/>
  <c r="G28" i="13"/>
  <c r="H28" i="13" s="1"/>
  <c r="G26" i="13"/>
  <c r="H26" i="13" s="1"/>
  <c r="G25" i="13"/>
  <c r="H25" i="13" s="1"/>
  <c r="G24" i="13"/>
  <c r="H24" i="13" s="1"/>
  <c r="G23" i="13"/>
  <c r="H23" i="13" s="1"/>
  <c r="G22" i="13"/>
  <c r="H22" i="13" s="1"/>
  <c r="G20" i="13"/>
  <c r="H20" i="13" s="1"/>
  <c r="G19" i="13"/>
  <c r="H19" i="13" s="1"/>
  <c r="G18" i="13"/>
  <c r="H18" i="13" s="1"/>
  <c r="G17" i="13"/>
  <c r="H17" i="13" s="1"/>
  <c r="G16" i="13"/>
  <c r="H16" i="13" s="1"/>
  <c r="G15" i="13"/>
  <c r="H15" i="13" s="1"/>
  <c r="G14" i="13"/>
  <c r="H14" i="13" s="1"/>
  <c r="G13" i="13"/>
  <c r="H13" i="13" s="1"/>
  <c r="G12" i="13"/>
  <c r="H12" i="13" s="1"/>
  <c r="G11" i="13"/>
  <c r="H11" i="13" s="1"/>
  <c r="G10" i="13"/>
  <c r="H10" i="13" s="1"/>
  <c r="G9" i="13"/>
  <c r="H9" i="13" s="1"/>
  <c r="G8" i="13"/>
  <c r="H8" i="13" s="1"/>
  <c r="G7" i="13"/>
  <c r="H7" i="13" s="1"/>
  <c r="G6" i="13"/>
  <c r="H6" i="13" s="1"/>
  <c r="G5" i="13"/>
  <c r="H5" i="13" s="1"/>
  <c r="G4" i="13"/>
  <c r="H4" i="13" s="1"/>
  <c r="B74" i="13"/>
  <c r="D74" i="13" s="1"/>
  <c r="B73" i="13"/>
  <c r="C73" i="13" s="1"/>
  <c r="B72" i="13"/>
  <c r="D72" i="13" s="1"/>
  <c r="B71" i="13"/>
  <c r="C71" i="13" s="1"/>
  <c r="B70" i="13"/>
  <c r="D70" i="13" s="1"/>
  <c r="B69" i="13"/>
  <c r="C69" i="13" s="1"/>
  <c r="B68" i="13"/>
  <c r="D68" i="13" s="1"/>
  <c r="B67" i="13"/>
  <c r="B66" i="13"/>
  <c r="D66" i="13" s="1"/>
  <c r="B65" i="13"/>
  <c r="D65" i="13" s="1"/>
  <c r="B64" i="13"/>
  <c r="D64" i="13" s="1"/>
  <c r="B63" i="13"/>
  <c r="D63" i="13" s="1"/>
  <c r="B62" i="13"/>
  <c r="D62" i="13" s="1"/>
  <c r="B61" i="13"/>
  <c r="B60" i="13"/>
  <c r="D60" i="13" s="1"/>
  <c r="B59" i="13"/>
  <c r="C59" i="13" s="1"/>
  <c r="B58" i="13"/>
  <c r="D58" i="13" s="1"/>
  <c r="B57" i="13"/>
  <c r="C57" i="13" s="1"/>
  <c r="B56" i="13"/>
  <c r="D56" i="13" s="1"/>
  <c r="B55" i="13"/>
  <c r="B45" i="13"/>
  <c r="B44" i="13"/>
  <c r="D44" i="13" s="1"/>
  <c r="B43" i="13"/>
  <c r="C43" i="13" s="1"/>
  <c r="B42" i="13"/>
  <c r="D42" i="13" s="1"/>
  <c r="B41" i="13"/>
  <c r="C41" i="13" s="1"/>
  <c r="B40" i="13"/>
  <c r="D40" i="13" s="1"/>
  <c r="B39" i="13"/>
  <c r="B38" i="13"/>
  <c r="D38" i="13" s="1"/>
  <c r="B37" i="13"/>
  <c r="D37" i="13" s="1"/>
  <c r="B36" i="13"/>
  <c r="D36" i="13" s="1"/>
  <c r="B35" i="13"/>
  <c r="D35" i="13" s="1"/>
  <c r="B34" i="13"/>
  <c r="D34" i="13" s="1"/>
  <c r="B33" i="13"/>
  <c r="B32" i="13"/>
  <c r="D32" i="13" s="1"/>
  <c r="B31" i="13"/>
  <c r="C31" i="13" s="1"/>
  <c r="B30" i="13"/>
  <c r="D30" i="13" s="1"/>
  <c r="B29" i="13"/>
  <c r="C29" i="13" s="1"/>
  <c r="B28" i="13"/>
  <c r="D28" i="13" s="1"/>
  <c r="B27" i="13"/>
  <c r="B26" i="13"/>
  <c r="D26" i="13" s="1"/>
  <c r="B25" i="13"/>
  <c r="D25" i="13" s="1"/>
  <c r="B24" i="13"/>
  <c r="D24" i="13" s="1"/>
  <c r="B23" i="13"/>
  <c r="D23" i="13" s="1"/>
  <c r="B22" i="13"/>
  <c r="D22" i="13" s="1"/>
  <c r="B21" i="13"/>
  <c r="B20" i="13"/>
  <c r="D20" i="13" s="1"/>
  <c r="B19" i="13"/>
  <c r="C19" i="13" s="1"/>
  <c r="B18" i="13"/>
  <c r="D18" i="13" s="1"/>
  <c r="B17" i="13"/>
  <c r="C17" i="13" s="1"/>
  <c r="B16" i="13"/>
  <c r="D16" i="13" s="1"/>
  <c r="B15" i="13"/>
  <c r="C15" i="13" s="1"/>
  <c r="B14" i="13"/>
  <c r="D14" i="13" s="1"/>
  <c r="B13" i="13"/>
  <c r="C13" i="13" s="1"/>
  <c r="B12" i="13"/>
  <c r="D12" i="13" s="1"/>
  <c r="B11" i="13"/>
  <c r="C11" i="13" s="1"/>
  <c r="B10" i="13"/>
  <c r="D10" i="13" s="1"/>
  <c r="B9" i="13"/>
  <c r="C9" i="13" s="1"/>
  <c r="B8" i="13"/>
  <c r="D8" i="13" s="1"/>
  <c r="B7" i="13"/>
  <c r="C7" i="13" s="1"/>
  <c r="B6" i="13"/>
  <c r="D6" i="13" s="1"/>
  <c r="B5" i="13"/>
  <c r="C5" i="13" s="1"/>
  <c r="B4" i="13"/>
  <c r="D4" i="13" s="1"/>
  <c r="D22" i="20"/>
  <c r="D4" i="20"/>
  <c r="B8" i="20"/>
  <c r="B4" i="19"/>
  <c r="D2" i="18"/>
  <c r="D4" i="15"/>
  <c r="D11" i="19"/>
  <c r="B4" i="17"/>
  <c r="D2" i="15"/>
  <c r="B11" i="20"/>
  <c r="D16" i="20"/>
  <c r="B6" i="20"/>
  <c r="B19" i="19"/>
  <c r="D6" i="17"/>
  <c r="B20" i="19"/>
  <c r="B5" i="19"/>
  <c r="B6" i="16"/>
  <c r="D7" i="15"/>
  <c r="B6" i="18"/>
  <c r="B5" i="15"/>
  <c r="D15" i="20"/>
  <c r="D19" i="20"/>
  <c r="B2" i="20"/>
  <c r="D9" i="19"/>
  <c r="D3" i="17"/>
  <c r="B10" i="19"/>
  <c r="B2" i="18"/>
  <c r="D10" i="15"/>
  <c r="B13" i="20"/>
  <c r="D12" i="20"/>
  <c r="B7" i="19"/>
  <c r="D7" i="19"/>
  <c r="D17" i="20"/>
  <c r="B21" i="20"/>
  <c r="B3" i="20"/>
  <c r="D13" i="19"/>
  <c r="D7" i="17"/>
  <c r="B14" i="19"/>
  <c r="C4" i="17"/>
  <c r="D3" i="15"/>
  <c r="B7" i="20"/>
  <c r="B14" i="20"/>
  <c r="D2" i="20"/>
  <c r="B11" i="19"/>
  <c r="B5" i="17"/>
  <c r="B12" i="19"/>
  <c r="B5" i="18"/>
  <c r="D2" i="16"/>
  <c r="B3" i="15"/>
  <c r="D5" i="17"/>
  <c r="B7" i="16"/>
  <c r="D11" i="20"/>
  <c r="D14" i="20"/>
  <c r="D16" i="19"/>
  <c r="B3" i="19"/>
  <c r="D5" i="16"/>
  <c r="D19" i="19"/>
  <c r="B3" i="18"/>
  <c r="D3" i="16"/>
  <c r="B17" i="20"/>
  <c r="D21" i="20"/>
  <c r="B10" i="20"/>
  <c r="D14" i="19"/>
  <c r="C3" i="19"/>
  <c r="B4" i="16"/>
  <c r="C7" i="20"/>
  <c r="B8" i="19"/>
  <c r="D13" i="20"/>
  <c r="B16" i="20"/>
  <c r="D20" i="19"/>
  <c r="D5" i="19"/>
  <c r="D7" i="16"/>
  <c r="B6" i="19"/>
  <c r="C6" i="19" s="1"/>
  <c r="B2" i="19"/>
  <c r="B5" i="16"/>
  <c r="C5" i="16" s="1"/>
  <c r="B20" i="20"/>
  <c r="B23" i="20"/>
  <c r="C11" i="20"/>
  <c r="D18" i="19"/>
  <c r="C4" i="19"/>
  <c r="D6" i="16"/>
  <c r="D2" i="19"/>
  <c r="B2" i="17"/>
  <c r="B4" i="15"/>
  <c r="B3" i="16"/>
  <c r="D4" i="16"/>
  <c r="B2" i="15"/>
  <c r="D7" i="20"/>
  <c r="D10" i="20"/>
  <c r="D8" i="19"/>
  <c r="D6" i="18"/>
  <c r="B8" i="15"/>
  <c r="D3" i="19"/>
  <c r="D8" i="16"/>
  <c r="B22" i="20"/>
  <c r="B19" i="20"/>
  <c r="C2" i="20"/>
  <c r="D6" i="15"/>
  <c r="D5" i="15"/>
  <c r="D9" i="20"/>
  <c r="B12" i="20"/>
  <c r="D12" i="19"/>
  <c r="D5" i="18"/>
  <c r="B2" i="16"/>
  <c r="B17" i="19"/>
  <c r="D4" i="18"/>
  <c r="B6" i="15"/>
  <c r="B15" i="20"/>
  <c r="C20" i="20"/>
  <c r="D8" i="20"/>
  <c r="D10" i="19"/>
  <c r="D3" i="18"/>
  <c r="B9" i="15"/>
  <c r="D15" i="19"/>
  <c r="B3" i="17"/>
  <c r="D8" i="15"/>
  <c r="B13" i="19"/>
  <c r="D9" i="15"/>
  <c r="D20" i="20"/>
  <c r="D23" i="20"/>
  <c r="D6" i="20"/>
  <c r="D17" i="19"/>
  <c r="D4" i="17"/>
  <c r="B18" i="19"/>
  <c r="C18" i="19" s="1"/>
  <c r="B9" i="19"/>
  <c r="B7" i="17"/>
  <c r="B10" i="15"/>
  <c r="B9" i="20"/>
  <c r="C15" i="20"/>
  <c r="D3" i="20"/>
  <c r="B15" i="19"/>
  <c r="D2" i="17"/>
  <c r="B16" i="19"/>
  <c r="D4" i="19"/>
  <c r="B4" i="20"/>
  <c r="D6" i="19"/>
  <c r="B8" i="16"/>
  <c r="B6" i="17"/>
  <c r="B4" i="18"/>
  <c r="B7" i="15"/>
  <c r="C46" i="13" l="1"/>
  <c r="C48" i="13"/>
  <c r="C50" i="13"/>
  <c r="C47" i="13"/>
  <c r="C49" i="13"/>
  <c r="C51" i="13"/>
  <c r="C4" i="13"/>
  <c r="C6" i="13"/>
  <c r="C8" i="13"/>
  <c r="C10" i="13"/>
  <c r="C12" i="13"/>
  <c r="C14" i="13"/>
  <c r="C16" i="13"/>
  <c r="C18" i="13"/>
  <c r="C20" i="13"/>
  <c r="C23" i="13"/>
  <c r="C25" i="13"/>
  <c r="C28" i="13"/>
  <c r="C30" i="13"/>
  <c r="C32" i="13"/>
  <c r="C35" i="13"/>
  <c r="C37" i="13"/>
  <c r="C40" i="13"/>
  <c r="C42" i="13"/>
  <c r="C44" i="13"/>
  <c r="C56" i="13"/>
  <c r="C58" i="13"/>
  <c r="C60" i="13"/>
  <c r="C63" i="13"/>
  <c r="C65" i="13"/>
  <c r="C68" i="13"/>
  <c r="C70" i="13"/>
  <c r="C72" i="13"/>
  <c r="C74" i="13"/>
  <c r="D5" i="13"/>
  <c r="D7" i="13"/>
  <c r="D9" i="13"/>
  <c r="D11" i="13"/>
  <c r="D13" i="13"/>
  <c r="D15" i="13"/>
  <c r="D17" i="13"/>
  <c r="D19" i="13"/>
  <c r="D29" i="13"/>
  <c r="D31" i="13"/>
  <c r="D41" i="13"/>
  <c r="D43" i="13"/>
  <c r="D57" i="13"/>
  <c r="D59" i="13"/>
  <c r="D69" i="13"/>
  <c r="D71" i="13"/>
  <c r="D73" i="13"/>
  <c r="C22" i="13"/>
  <c r="C24" i="13"/>
  <c r="C26" i="13"/>
  <c r="C34" i="13"/>
  <c r="C36" i="13"/>
  <c r="C38" i="13"/>
  <c r="C62" i="13"/>
  <c r="C64" i="13"/>
  <c r="C66" i="13"/>
  <c r="E33" i="12"/>
  <c r="D33" i="12"/>
  <c r="C8" i="16"/>
  <c r="C8" i="15"/>
  <c r="C22" i="20"/>
  <c r="C9" i="15"/>
  <c r="C7" i="17"/>
  <c r="C13" i="19"/>
  <c r="C14" i="20"/>
  <c r="C15" i="19"/>
  <c r="C17" i="20"/>
  <c r="C10" i="20"/>
  <c r="C5" i="19"/>
  <c r="C3" i="15"/>
  <c r="C23" i="20"/>
  <c r="C3" i="17"/>
  <c r="C3" i="16"/>
  <c r="C6" i="20"/>
  <c r="C17" i="19"/>
  <c r="C13" i="20"/>
  <c r="C8" i="19"/>
  <c r="C21" i="20"/>
  <c r="C4" i="16"/>
  <c r="C20" i="19"/>
  <c r="C9" i="20"/>
  <c r="C6" i="16"/>
  <c r="C14" i="19"/>
  <c r="C3" i="18"/>
  <c r="C4" i="20"/>
  <c r="C7" i="15"/>
  <c r="C3" i="20"/>
  <c r="C2" i="18"/>
  <c r="C5" i="18"/>
  <c r="C16" i="20"/>
  <c r="C4" i="18"/>
  <c r="C6" i="17"/>
  <c r="C12" i="20"/>
  <c r="C9" i="19"/>
  <c r="C12" i="19"/>
  <c r="C7" i="16"/>
  <c r="C19" i="19"/>
  <c r="C11" i="19"/>
  <c r="C8" i="20"/>
  <c r="C10" i="19"/>
  <c r="C2" i="15"/>
  <c r="C19" i="20"/>
  <c r="C7" i="19"/>
  <c r="C4" i="15"/>
  <c r="C6" i="15"/>
  <c r="C2" i="19"/>
  <c r="C5" i="15"/>
  <c r="C10" i="15"/>
  <c r="C2" i="17"/>
  <c r="C5" i="17"/>
  <c r="C6" i="18"/>
  <c r="C16" i="19"/>
  <c r="C2" i="16"/>
  <c r="C21" i="13" l="1"/>
  <c r="C27" i="13" s="1"/>
  <c r="C33" i="13" s="1"/>
  <c r="D33" i="13" s="1"/>
  <c r="D21" i="13"/>
  <c r="A38" i="12"/>
  <c r="E27" i="12"/>
  <c r="E38" i="12" s="1"/>
  <c r="D27" i="12"/>
  <c r="E31" i="12"/>
  <c r="E26" i="12"/>
  <c r="E29" i="12"/>
  <c r="E35" i="12"/>
  <c r="E36" i="12"/>
  <c r="C39" i="13" l="1"/>
  <c r="D27" i="13"/>
  <c r="D6" i="12"/>
  <c r="D5" i="12"/>
  <c r="D4" i="12"/>
  <c r="D3" i="12"/>
  <c r="E25" i="12"/>
  <c r="H13" i="2"/>
  <c r="F7" i="2"/>
  <c r="F9" i="9"/>
  <c r="H11" i="1"/>
  <c r="H10" i="2"/>
  <c r="B9" i="9"/>
  <c r="F13" i="2"/>
  <c r="I16" i="1"/>
  <c r="H11" i="2"/>
  <c r="I12" i="1"/>
  <c r="H14" i="1"/>
  <c r="G15" i="2"/>
  <c r="I11" i="1"/>
  <c r="C5" i="9"/>
  <c r="F10" i="2"/>
  <c r="B7" i="9"/>
  <c r="E5" i="9"/>
  <c r="G14" i="2"/>
  <c r="H15" i="1"/>
  <c r="H8" i="1"/>
  <c r="F12" i="2"/>
  <c r="I10" i="1"/>
  <c r="I8" i="1"/>
  <c r="G12" i="2"/>
  <c r="I17" i="1"/>
  <c r="G11" i="2"/>
  <c r="C6" i="9"/>
  <c r="H12" i="2"/>
  <c r="G13" i="2"/>
  <c r="H12" i="1"/>
  <c r="H17" i="1"/>
  <c r="F3" i="2"/>
  <c r="H6" i="2"/>
  <c r="F7" i="9"/>
  <c r="G3" i="2"/>
  <c r="G10" i="2"/>
  <c r="F6" i="2"/>
  <c r="B6" i="9"/>
  <c r="F14" i="2"/>
  <c r="H3" i="2"/>
  <c r="I18" i="1"/>
  <c r="I13" i="1"/>
  <c r="H9" i="1"/>
  <c r="E8" i="9"/>
  <c r="H15" i="2"/>
  <c r="E7" i="9"/>
  <c r="H14" i="2"/>
  <c r="F6" i="9"/>
  <c r="F8" i="2"/>
  <c r="H18" i="1"/>
  <c r="C9" i="9"/>
  <c r="H9" i="2"/>
  <c r="G6" i="2"/>
  <c r="H7" i="2"/>
  <c r="G8" i="2"/>
  <c r="I14" i="1"/>
  <c r="E6" i="9"/>
  <c r="C8" i="9"/>
  <c r="F8" i="9"/>
  <c r="I9" i="1"/>
  <c r="I15" i="1"/>
  <c r="F11" i="2"/>
  <c r="H10" i="1"/>
  <c r="H13" i="1"/>
  <c r="H8" i="2"/>
  <c r="H16" i="1"/>
  <c r="G7" i="2"/>
  <c r="G9" i="2"/>
  <c r="F15" i="2"/>
  <c r="F9" i="2"/>
  <c r="C7" i="9"/>
  <c r="E9" i="9"/>
  <c r="B5" i="9"/>
  <c r="B8" i="9"/>
  <c r="F5" i="9"/>
  <c r="D39" i="13" l="1"/>
  <c r="C45" i="13"/>
  <c r="C52" i="13" s="1"/>
  <c r="E6" i="12"/>
  <c r="E5" i="12"/>
  <c r="E4" i="12"/>
  <c r="E3" i="12"/>
  <c r="C6" i="12"/>
  <c r="C5" i="12"/>
  <c r="C4" i="12"/>
  <c r="C3" i="12"/>
  <c r="D52" i="13" l="1"/>
  <c r="C55" i="13"/>
  <c r="D45" i="13"/>
  <c r="E8" i="12"/>
  <c r="J6" i="10"/>
  <c r="J7" i="10" s="1"/>
  <c r="J5" i="10"/>
  <c r="H7" i="10"/>
  <c r="H6" i="10"/>
  <c r="H5" i="10"/>
  <c r="H4" i="10"/>
  <c r="E7" i="10"/>
  <c r="D7" i="10"/>
  <c r="E6" i="10"/>
  <c r="D6" i="10"/>
  <c r="E5" i="10"/>
  <c r="D5" i="10"/>
  <c r="E4" i="10"/>
  <c r="D4" i="10"/>
  <c r="B7" i="10"/>
  <c r="C7" i="10" s="1"/>
  <c r="F7" i="10" s="1"/>
  <c r="I7" i="10" s="1"/>
  <c r="K7" i="10" s="1"/>
  <c r="B6" i="10"/>
  <c r="C6" i="10" s="1"/>
  <c r="F6" i="10" s="1"/>
  <c r="I6" i="10" s="1"/>
  <c r="K6" i="10" s="1"/>
  <c r="B5" i="10"/>
  <c r="C5" i="10" s="1"/>
  <c r="F5" i="10" s="1"/>
  <c r="I5" i="10" s="1"/>
  <c r="K5" i="10" s="1"/>
  <c r="B4" i="10"/>
  <c r="C4" i="10" s="1"/>
  <c r="F4" i="10" s="1"/>
  <c r="I4" i="10" s="1"/>
  <c r="G5" i="10" l="1"/>
  <c r="G7" i="10"/>
  <c r="L6" i="10"/>
  <c r="L5" i="10"/>
  <c r="L7" i="10"/>
  <c r="D55" i="13"/>
  <c r="C61" i="13"/>
  <c r="D61" i="13" s="1"/>
  <c r="L4" i="10"/>
  <c r="K4" i="10"/>
  <c r="G4" i="10"/>
  <c r="G6" i="10"/>
  <c r="B23" i="4"/>
  <c r="B22" i="4"/>
  <c r="B20" i="4"/>
  <c r="B19" i="4"/>
  <c r="B14" i="4"/>
  <c r="B15" i="4" s="1"/>
  <c r="B16" i="4" s="1"/>
  <c r="B17" i="4" s="1"/>
  <c r="B11" i="4"/>
  <c r="B12" i="4" s="1"/>
  <c r="B9" i="4"/>
  <c r="B6" i="2"/>
  <c r="C67" i="13" l="1"/>
  <c r="D67" i="13" s="1"/>
  <c r="G5" i="9"/>
  <c r="D6" i="9"/>
  <c r="G7" i="9"/>
  <c r="D8" i="9"/>
  <c r="D9" i="9"/>
  <c r="D5" i="9"/>
  <c r="D7" i="9"/>
  <c r="G6" i="9"/>
  <c r="G8" i="9"/>
  <c r="G9" i="9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A7" i="2" l="1"/>
  <c r="B7" i="2" s="1"/>
  <c r="A8" i="2" l="1"/>
  <c r="A9" i="2" s="1"/>
  <c r="D15" i="1"/>
  <c r="A9" i="1"/>
  <c r="A10" i="1" s="1"/>
  <c r="G8" i="1"/>
  <c r="F9" i="1" s="1"/>
  <c r="E8" i="1"/>
  <c r="B8" i="2" l="1"/>
  <c r="A10" i="2"/>
  <c r="B9" i="2"/>
  <c r="A11" i="1"/>
  <c r="G10" i="1"/>
  <c r="E10" i="1"/>
  <c r="E9" i="1"/>
  <c r="G9" i="1"/>
  <c r="A11" i="2" l="1"/>
  <c r="B10" i="2"/>
  <c r="F10" i="1"/>
  <c r="F11" i="1"/>
  <c r="A12" i="1"/>
  <c r="G11" i="1"/>
  <c r="E11" i="1"/>
  <c r="B11" i="2" l="1"/>
  <c r="A12" i="2"/>
  <c r="F12" i="1"/>
  <c r="A13" i="1"/>
  <c r="G12" i="1"/>
  <c r="E12" i="1"/>
  <c r="B12" i="2" l="1"/>
  <c r="A13" i="2"/>
  <c r="F13" i="1"/>
  <c r="A14" i="1"/>
  <c r="G13" i="1"/>
  <c r="E13" i="1"/>
  <c r="B13" i="2" l="1"/>
  <c r="A14" i="2"/>
  <c r="F14" i="1"/>
  <c r="A15" i="1"/>
  <c r="G14" i="1"/>
  <c r="E14" i="1"/>
  <c r="B14" i="2" l="1"/>
  <c r="A15" i="2"/>
  <c r="B15" i="2" s="1"/>
  <c r="B17" i="2"/>
  <c r="F15" i="1"/>
  <c r="G15" i="1"/>
  <c r="E15" i="1"/>
  <c r="A16" i="1"/>
  <c r="E14" i="2" l="1"/>
  <c r="E15" i="2"/>
  <c r="E11" i="2"/>
  <c r="E10" i="2"/>
  <c r="E12" i="2"/>
  <c r="E6" i="2"/>
  <c r="E13" i="2"/>
  <c r="E7" i="2"/>
  <c r="E9" i="2"/>
  <c r="E8" i="2"/>
  <c r="G16" i="1"/>
  <c r="E16" i="1"/>
  <c r="A17" i="1"/>
  <c r="F16" i="1"/>
  <c r="G17" i="1" l="1"/>
  <c r="E17" i="1"/>
  <c r="A18" i="1"/>
  <c r="F17" i="1"/>
  <c r="G18" i="1" l="1"/>
  <c r="E18" i="1"/>
  <c r="F18" i="1"/>
</calcChain>
</file>

<file path=xl/connections.xml><?xml version="1.0" encoding="utf-8"?>
<connections xmlns="http://schemas.openxmlformats.org/spreadsheetml/2006/main">
  <connection id="1" name="MergeNewItemsIntoArray_Summary_20130105_165106" type="6" refreshedVersion="4" background="1" saveData="1">
    <textPr codePage="437" sourceFile="C:\Documents and Settings\DAG\My Documents\Visual Studio 2010\Projects\WizardWrx_Libs\SharedUtl4\Test_Data\MergeNewItemsIntoArray_Summary_20130105_165106.TXT" delimiter="|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<sst xmlns="http://schemas.openxmlformats.org/spreadsheetml/2006/main" count="2203" uniqueCount="646">
  <si>
    <t>Backup</t>
  </si>
  <si>
    <t>C:\Documents and Settings\DAG\My Documents\Visual Studio 2010\Projects\NOLANB\DEDocTR_Listing_Splitter\NOTES\_archive</t>
  </si>
  <si>
    <t>Input Files</t>
  </si>
  <si>
    <t>C:\Documents and Settings\DAG\My Documents\Visual Studio 2010\Projects\NOLANB\DEDocTR_Listing_Splitter\NOTES\Test_Data</t>
  </si>
  <si>
    <t>Output Directory</t>
  </si>
  <si>
    <t>C:\Documents and Settings\DAG\My Documents\Visual Studio 2010\Projects\NOLANB\DEDocTR_Listing_Splitter\NOTES\Test_Data\Output</t>
  </si>
  <si>
    <t>DE Doc'TR Input File</t>
  </si>
  <si>
    <t>C:\TEMPDATA\Report_Output\DEDOCTR.TXT</t>
  </si>
  <si>
    <t>DE Doc'TR Shell Script</t>
  </si>
  <si>
    <t>C:\bin\DE_Doc'TR.BAT</t>
  </si>
  <si>
    <t>Case</t>
  </si>
  <si>
    <t>Synopsis</t>
  </si>
  <si>
    <t>Status</t>
  </si>
  <si>
    <t>Comment</t>
  </si>
  <si>
    <t>Input File</t>
  </si>
  <si>
    <t>Before</t>
  </si>
  <si>
    <t>After</t>
  </si>
  <si>
    <t>Shell Command to Save Input File</t>
  </si>
  <si>
    <t>Fully Qualified Name of Backup</t>
  </si>
  <si>
    <t>Merge a new version of an existing listing.</t>
  </si>
  <si>
    <t>OK</t>
  </si>
  <si>
    <t>Form Sales_Inventory</t>
  </si>
  <si>
    <t>Test_Data_Baseline.ZIPX</t>
  </si>
  <si>
    <t>Merge a brand new form by appending.</t>
  </si>
  <si>
    <t>Form Unit Type Master</t>
  </si>
  <si>
    <t>Merge a brand new form by prepending.</t>
  </si>
  <si>
    <t>Form EZPay_Data_Exchange</t>
  </si>
  <si>
    <t>Merge a brand new form in the middle.</t>
  </si>
  <si>
    <t>Form Lease Master</t>
  </si>
  <si>
    <t>Merge two new forms, both interleaved.</t>
  </si>
  <si>
    <t>Forms GSTAT_MAPPINGS and NewWebPayment</t>
  </si>
  <si>
    <t>Merge one new form and one update.</t>
  </si>
  <si>
    <t>Forms Lease Master and Month Table Lookup</t>
  </si>
  <si>
    <t>Merge a DQL procedure without a form.</t>
  </si>
  <si>
    <t>Procedure zz_dag_TenantAccts</t>
  </si>
  <si>
    <t>Update a DQL procedure without a form.</t>
  </si>
  <si>
    <t>Test the fullly generic merge routine.</t>
  </si>
  <si>
    <t>2 new forms: Property Master and Prorate Control</t>
  </si>
  <si>
    <t>Test the optimized merge routine with a true merge.</t>
  </si>
  <si>
    <t>2 new forms: DIGILINK and LOGBASE-Master</t>
  </si>
  <si>
    <t>Test the optimized merge routine with an append merge.</t>
  </si>
  <si>
    <t>2 new forms: VerifoneResultCodes and WP-OTHER - drop Procedure zz_dag_TenantAccts</t>
  </si>
  <si>
    <t>Key</t>
  </si>
  <si>
    <t>Value</t>
  </si>
  <si>
    <t>Secondary Input</t>
  </si>
  <si>
    <t>Len</t>
  </si>
  <si>
    <t>Merge a brand new record by appending.</t>
  </si>
  <si>
    <t>Merge a brand new record by prepending.</t>
  </si>
  <si>
    <t>Merge a brand new record in the middle.</t>
  </si>
  <si>
    <t>Merge two new records, both interleaved.</t>
  </si>
  <si>
    <t>Merge one new record and one update.</t>
  </si>
  <si>
    <t>Merge three new records - one each prepended, interleaved, and appended.</t>
  </si>
  <si>
    <t>Merge five new records - one each prepended, interleaved, and appended, and two interleaved updates.</t>
  </si>
  <si>
    <t>Prepend three new records.</t>
  </si>
  <si>
    <t>Append three new records.</t>
  </si>
  <si>
    <t>Row</t>
  </si>
  <si>
    <t>The new value stored in this slot is 1960000. The previous value was 1400.</t>
  </si>
  <si>
    <t>The value stored in this slot is 2100.</t>
  </si>
  <si>
    <t>The value stored in this slot is 50.</t>
  </si>
  <si>
    <t>The value stored in this slot is 450.</t>
  </si>
  <si>
    <t>The value stored in this slot is 250.</t>
  </si>
  <si>
    <t>The value stored in this slot is 750.</t>
  </si>
  <si>
    <t>The value stored in this slot is 950.</t>
  </si>
  <si>
    <t>The value stored in this slot is 1440000. The previous value was 1200.</t>
  </si>
  <si>
    <t>The value stored in this slot is 25.</t>
  </si>
  <si>
    <t>The value stored in this slot is 1550.</t>
  </si>
  <si>
    <t>The value stored in this slot is 2200.</t>
  </si>
  <si>
    <t>The value stored in this slot is 10.</t>
  </si>
  <si>
    <t>The value stored in this slot is 150.</t>
  </si>
  <si>
    <t>The value stored in this slot is 810000. The previous value was 900.</t>
  </si>
  <si>
    <t>The value stored in this slot is 4410000. Its value was 2100.</t>
  </si>
  <si>
    <t>The value stored in this slot is 2500.</t>
  </si>
  <si>
    <t>The value stored in this slot is 2.</t>
  </si>
  <si>
    <t>The value stored in this slot is 4.</t>
  </si>
  <si>
    <t>The value stored in this slot is 6.</t>
  </si>
  <si>
    <t>The value stored in this slot is 3000.</t>
  </si>
  <si>
    <t>The value stored in this slot is 4000.</t>
  </si>
  <si>
    <t>The value stored in this slot is 6000.</t>
  </si>
  <si>
    <t>Data Directory</t>
  </si>
  <si>
    <t>C:\Documents and Settings\DAG\My Documents\Visual Studio 2010\Projects\WizardWrx_Libs\SharedUtl4\Test_Data</t>
  </si>
  <si>
    <t>Initial Primary Input File</t>
  </si>
  <si>
    <t>MergeNewItemsIntoArray_Master.TXT</t>
  </si>
  <si>
    <t>Size</t>
  </si>
  <si>
    <t>Modified</t>
  </si>
  <si>
    <t>Created</t>
  </si>
  <si>
    <t>SharedUtl4_TestStand, version 2.0.41.824</t>
  </si>
  <si>
    <t>Begin @ 11/23/2012 00:30:34.076 (11/23/2012 06:30:34.076 UTC)</t>
  </si>
  <si>
    <t>Data Directory = C:\Documents and Settings\DAG\My Documents\Visual Studio 2010\Projects\WizardWrx_Libs\SharedUtl4\Test_Data</t>
  </si>
  <si>
    <t>Begin Tests of MaxStringLength Method:</t>
  </si>
  <si>
    <t xml:space="preserve">    Test # 1:</t>
  </si>
  <si>
    <t>Source of Test Data                = LinesInTextFile</t>
  </si>
  <si>
    <t>Fully Qualified Name of Input File = MaxStringLength.TXT</t>
  </si>
  <si>
    <t>Date Input File Last Modified      = 2012/11/19 11:49:33</t>
  </si>
  <si>
    <t>Size, in Bytes, of Input File      = 236</t>
  </si>
  <si>
    <t>Number of Lines in Input File      = 4</t>
  </si>
  <si>
    <t>Length of Longest Line             = 91</t>
  </si>
  <si>
    <t xml:space="preserve">    Test # 1 done</t>
  </si>
  <si>
    <t>MaxStringLength tests completed</t>
  </si>
  <si>
    <t>Begin Tests of MergeNewItemsIntoArray Method:</t>
  </si>
  <si>
    <t>Description</t>
  </si>
  <si>
    <t>FileName</t>
  </si>
  <si>
    <t>ModDate</t>
  </si>
  <si>
    <t>LineCount</t>
  </si>
  <si>
    <t>Master File</t>
  </si>
  <si>
    <t>New Items File</t>
  </si>
  <si>
    <t>MergeNewItemsIntoArray_Case_01.TXT</t>
  </si>
  <si>
    <t>Output File</t>
  </si>
  <si>
    <t>MergeNewItemsIntoArray_Output_01.TXT</t>
  </si>
  <si>
    <t xml:space="preserve">    Test # 2:</t>
  </si>
  <si>
    <t>MergeNewItemsIntoArray_Case_02.TXT</t>
  </si>
  <si>
    <t>MergeNewItemsIntoArray_Output_02.TXT</t>
  </si>
  <si>
    <t xml:space="preserve">    Test # 2 done</t>
  </si>
  <si>
    <t xml:space="preserve">    Test # 3:</t>
  </si>
  <si>
    <t>MergeNewItemsIntoArray_Case_03.TXT</t>
  </si>
  <si>
    <t>MergeNewItemsIntoArray_Output_03.TXT</t>
  </si>
  <si>
    <t xml:space="preserve">    Test # 3 done</t>
  </si>
  <si>
    <t xml:space="preserve">    Test # 4:</t>
  </si>
  <si>
    <t>MergeNewItemsIntoArray_Case_04.TXT</t>
  </si>
  <si>
    <t>MergeNewItemsIntoArray_Output_04.TXT</t>
  </si>
  <si>
    <t xml:space="preserve">    Test # 4 done</t>
  </si>
  <si>
    <t xml:space="preserve">    Test # 5:</t>
  </si>
  <si>
    <t>MergeNewItemsIntoArray_Case_05.TXT</t>
  </si>
  <si>
    <t>MergeNewItemsIntoArray_Output_05.TXT</t>
  </si>
  <si>
    <t xml:space="preserve">    Test # 5 done</t>
  </si>
  <si>
    <t xml:space="preserve">    Test # 6:</t>
  </si>
  <si>
    <t>MergeNewItemsIntoArray_Case_06.TXT</t>
  </si>
  <si>
    <t>MergeNewItemsIntoArray_Output_06.TXT</t>
  </si>
  <si>
    <t xml:space="preserve">    Test # 6 done</t>
  </si>
  <si>
    <t xml:space="preserve">    Test # 7:</t>
  </si>
  <si>
    <t>MergeNewItemsIntoArray_Case_07.TXT</t>
  </si>
  <si>
    <t>MergeNewItemsIntoArray_Output_07.TXT</t>
  </si>
  <si>
    <t xml:space="preserve">    Test # 7 done</t>
  </si>
  <si>
    <t xml:space="preserve">    Test # 8:</t>
  </si>
  <si>
    <t>MergeNewItemsIntoArray_Case_08.TXT</t>
  </si>
  <si>
    <t>MergeNewItemsIntoArray_Output_08.TXT</t>
  </si>
  <si>
    <t xml:space="preserve">    Test # 8 done</t>
  </si>
  <si>
    <t xml:space="preserve">    Test # 9:</t>
  </si>
  <si>
    <t>MergeNewItemsIntoArray_Case_09.TXT</t>
  </si>
  <si>
    <t>MergeNewItemsIntoArray_Output_09.TXT</t>
  </si>
  <si>
    <t xml:space="preserve">    Test # 9 done</t>
  </si>
  <si>
    <t xml:space="preserve">    Test # 10:</t>
  </si>
  <si>
    <t>MergeNewItemsIntoArray_Case_10.TXT</t>
  </si>
  <si>
    <t>MergeNewItemsIntoArray_Output_10.TXT</t>
  </si>
  <si>
    <t xml:space="preserve">    Test # 10 done</t>
  </si>
  <si>
    <t>MergeNewItemsIntoArray tests completed</t>
  </si>
  <si>
    <t>SharedUtl4_TestStand End - 11/23/2012 00:30:34.529 (11/23/2012 06:30:34.529 UTC)</t>
  </si>
  <si>
    <t>Elapsed time: 0:00:00:00.453</t>
  </si>
  <si>
    <t>Please press the ENTER (Return) key to exit the program.</t>
  </si>
  <si>
    <t>DE Doc'TR Listing Splitter</t>
  </si>
  <si>
    <t>MergeNewItemsIntoArray</t>
  </si>
  <si>
    <t>MergeNewItemsIntoArray_IMPORT</t>
  </si>
  <si>
    <t>Master</t>
  </si>
  <si>
    <t>Additions</t>
  </si>
  <si>
    <t>MergeNewItemsIntoArray_Report_1</t>
  </si>
  <si>
    <t>MergeNewItemsIntoArray_Report_2</t>
  </si>
  <si>
    <t>Name</t>
  </si>
  <si>
    <t>Test Data Repository</t>
  </si>
  <si>
    <t>File Name</t>
  </si>
  <si>
    <t>Plaintext_File_1_Block.TXT</t>
  </si>
  <si>
    <t>Digest</t>
  </si>
  <si>
    <t>Blocks</t>
  </si>
  <si>
    <t>Block Size</t>
  </si>
  <si>
    <t>Plaintext_File_3_1_Plus_Blocks.TXT</t>
  </si>
  <si>
    <t>Plaintext_File_2_Fractional_Block.TXT</t>
  </si>
  <si>
    <t>MD5 Digest</t>
  </si>
  <si>
    <t>Plaintext_File_4_4_Plus_Blocks.TXT</t>
  </si>
  <si>
    <t>Plaintext_File_4_Exactly_8_Blocks.TXT</t>
  </si>
  <si>
    <t xml:space="preserve">        const string TEST_MAXSTRINGLENGTH = @"MaxStringLength";                 // MaxStringLength_Tests</t>
  </si>
  <si>
    <t xml:space="preserve">        const string TEST_MERGENEWITEMSINTOARRAY = @"MergeNewItemsIntoArray";   // MergeNewItemsIntoArray_Tests</t>
  </si>
  <si>
    <t xml:space="preserve">        const string TEST_DIGESTFILE = @"DigestFile";                           // DigestFileTests</t>
  </si>
  <si>
    <t xml:space="preserve">        const string TEST_REPORTDETAILS = @"ReportDetails";                     // ReportDetailsTests</t>
  </si>
  <si>
    <t>Visual C# Code for Selections</t>
  </si>
  <si>
    <t>const string</t>
  </si>
  <si>
    <t>Start Pos</t>
  </si>
  <si>
    <t>End Pos</t>
  </si>
  <si>
    <t>Const Value</t>
  </si>
  <si>
    <t>= @"</t>
  </si>
  <si>
    <t>";</t>
  </si>
  <si>
    <t>String Constant</t>
  </si>
  <si>
    <t>//</t>
  </si>
  <si>
    <t>Line Comment</t>
  </si>
  <si>
    <t>CHOICE_</t>
  </si>
  <si>
    <t>TEST_</t>
  </si>
  <si>
    <t>Definition</t>
  </si>
  <si>
    <t>s_strTestSelections</t>
  </si>
  <si>
    <t>Initilizer</t>
  </si>
  <si>
    <t>Choice Slot Number</t>
  </si>
  <si>
    <t>MD5 Digest Cases</t>
  </si>
  <si>
    <t>TestSelections</t>
  </si>
  <si>
    <t>uint</t>
  </si>
  <si>
    <t>puintItemIndex</t>
  </si>
  <si>
    <t>puintMaximumWidth</t>
  </si>
  <si>
    <t>Alignment</t>
  </si>
  <si>
    <t>penmAlignment</t>
  </si>
  <si>
    <t>string</t>
  </si>
  <si>
    <t>pstrFormatString</t>
  </si>
  <si>
    <t>Type</t>
  </si>
  <si>
    <t>Argument</t>
  </si>
  <si>
    <t>Message</t>
  </si>
  <si>
    <t>Text</t>
  </si>
  <si>
    <t>Length</t>
  </si>
  <si>
    <t>Longest Text</t>
  </si>
  <si>
    <t>Lower Limit</t>
  </si>
  <si>
    <t>Upper Limit</t>
  </si>
  <si>
    <t>Constant</t>
  </si>
  <si>
    <t>DESIRED_WIDTH_MINIMUM</t>
  </si>
  <si>
    <t>DESIRED_WIDTH_MAXIMUM</t>
  </si>
  <si>
    <t>ITEM_NUMBER_MINIMUM</t>
  </si>
  <si>
    <t>ITEM_NUMBER_MAXIMUM</t>
  </si>
  <si>
    <t>ReportHelpers.Alignment.Left</t>
  </si>
  <si>
    <t>ReportHelpers.Alignment.Right</t>
  </si>
  <si>
    <t>s_aenmAlignment [ 1 ]</t>
  </si>
  <si>
    <t>s_aenmAlignment [ 0 ]</t>
  </si>
  <si>
    <t>s_astrFormats [ 0 ]</t>
  </si>
  <si>
    <t>NumericFormats.NUMBER_PER_REG_SETTINGS_0D</t>
  </si>
  <si>
    <t>NumericFormats.HEXADECIMAL_8</t>
  </si>
  <si>
    <t>s_astrFormats [ 3 ]</t>
  </si>
  <si>
    <t>uintItemIndex</t>
  </si>
  <si>
    <t>uintMaximumWidth</t>
  </si>
  <si>
    <t>enmAlignment</t>
  </si>
  <si>
    <t>strTestFormat</t>
  </si>
  <si>
    <t>Test Variable</t>
  </si>
  <si>
    <t xml:space="preserve">DESIRED_WIDTH_MINIMUM </t>
  </si>
  <si>
    <t xml:space="preserve">DESIRED_WIDTH_MAXIMUM </t>
  </si>
  <si>
    <t xml:space="preserve">ITEM_NUMBER_MINIMUM </t>
  </si>
  <si>
    <t xml:space="preserve">ITEM_NUMBER_MAXIMUM </t>
  </si>
  <si>
    <t>s_aenmAlignment.Length</t>
  </si>
  <si>
    <t>s_astrFormats.Length</t>
  </si>
  <si>
    <t>lngTotalTests</t>
  </si>
  <si>
    <t>( ( ITEM_NUMBER_MAXIMUM - ITEM_NUMBER_MINIMUM ) + StandardConstants.ARRAY_LIST_ORDINAL_TO_SUBSCRIPT )</t>
  </si>
  <si>
    <t>* s_aenmAlignment.Length</t>
  </si>
  <si>
    <t>* s_astrFormats.Length;</t>
  </si>
  <si>
    <t>ARRAY_LIST_ORDINAL_TO_SUBSCRIPT</t>
  </si>
  <si>
    <t>* ( DESIRED_WIDTH_MAXIMUM - DESIRED_WIDTH_MINIMUM )* ( DESIRED_WIDTH_MAXIMUM - ( DESIRED_WIDTH_MINIMUM + StandardConstants.ARRAY_LIST_ORDINAL_TO_SUBSCRIPT ) )</t>
  </si>
  <si>
    <t xml:space="preserve">        /// &lt;summary&gt;</t>
  </si>
  <si>
    <t xml:space="preserve">        /// The Parse method defines a local State variable and uses it to keep</t>
  </si>
  <si>
    <t xml:space="preserve">        /// track of its internal state.</t>
  </si>
  <si>
    <t xml:space="preserve">        /// &lt;/summary&gt;</t>
  </si>
  <si>
    <t xml:space="preserve">        /// &lt;remarks&gt;</t>
  </si>
  <si>
    <t xml:space="preserve">        /// While the beginning of a format string is represented in the State</t>
  </si>
  <si>
    <t xml:space="preserve">        /// enumeration by NotStarted, no value is reserved for the end, because</t>
  </si>
  <si>
    <t xml:space="preserve">        /// the main loop of the parser is a loop that processes the format</t>
  </si>
  <si>
    <t xml:space="preserve">        /// string character by character, makeing such a state moot.</t>
  </si>
  <si>
    <t xml:space="preserve">        /// &lt;/remarks&gt;</t>
  </si>
  <si>
    <t xml:space="preserve">        enum State</t>
  </si>
  <si>
    <t xml:space="preserve">        {</t>
  </si>
  <si>
    <t xml:space="preserve">            /// &lt;summary&gt;</t>
  </si>
  <si>
    <t xml:space="preserve">            /// The Parse method has not processed anything. This is the initial</t>
  </si>
  <si>
    <t xml:space="preserve">            /// value of the internal state variable, which ends when the first</t>
  </si>
  <si>
    <t xml:space="preserve">            /// character is processed.</t>
  </si>
  <si>
    <t xml:space="preserve">            /// &lt;/summary&gt;</t>
  </si>
  <si>
    <t xml:space="preserve">            NotStarted ,</t>
  </si>
  <si>
    <t xml:space="preserve">            /// The last character seen by the parser is an ordinary literal or</t>
  </si>
  <si>
    <t xml:space="preserve">            /// an escaped French brace.</t>
  </si>
  <si>
    <t xml:space="preserve">            ProcessingLiterals ,</t>
  </si>
  <si>
    <t xml:space="preserve">            /// The last character seen by the parser is the unescaped opening</t>
  </si>
  <si>
    <t xml:space="preserve">            /// French brace that marks the beginning of a new Format Item.</t>
  </si>
  <si>
    <t xml:space="preserve">            ItemBegin ,</t>
  </si>
  <si>
    <t xml:space="preserve">            /// The last character seen by the parser is a digit of a Index</t>
  </si>
  <si>
    <t xml:space="preserve">            /// component.</t>
  </si>
  <si>
    <t xml:space="preserve">            IndexComponet ,</t>
  </si>
  <si>
    <t xml:space="preserve">            /// The last character seen by the parser is the comma that delimits</t>
  </si>
  <si>
    <t xml:space="preserve">            /// the Alighment component.</t>
  </si>
  <si>
    <t xml:space="preserve">            AlignmentBegin ,</t>
  </si>
  <si>
    <t xml:space="preserve">            AlignmentComponent ,</t>
  </si>
  <si>
    <t xml:space="preserve">            /// The last character seen by the parser is the colon that delimits</t>
  </si>
  <si>
    <t xml:space="preserve">            /// the Format String component.</t>
  </si>
  <si>
    <t xml:space="preserve">            FormatBegin ,</t>
  </si>
  <si>
    <t xml:space="preserve">            /// The last character seen by the parser follows a colon and</t>
  </si>
  <si>
    <t xml:space="preserve">            /// precedes a closing French brace.</t>
  </si>
  <si>
    <t xml:space="preserve">            FormatString ,</t>
  </si>
  <si>
    <t xml:space="preserve">            /// The last character seen by the parser is the unescaped closing</t>
  </si>
  <si>
    <t xml:space="preserve">            /// French brace that marks the end of a Format Item.</t>
  </si>
  <si>
    <t xml:space="preserve">            ItemEnd</t>
  </si>
  <si>
    <t xml:space="preserve">        };  // State</t>
  </si>
  <si>
    <t>Definition in FormatStringParser.cs</t>
  </si>
  <si>
    <t>State</t>
  </si>
  <si>
    <t>Integer</t>
  </si>
  <si>
    <t>This row marks the upper boundary of a range.</t>
  </si>
  <si>
    <t>Dec.</t>
  </si>
  <si>
    <t>Hex.</t>
  </si>
  <si>
    <t>Symbol</t>
  </si>
  <si>
    <t>Qualification</t>
  </si>
  <si>
    <t>{</t>
  </si>
  <si>
    <t>ITEM_BEGIN</t>
  </si>
  <si>
    <t>Defined</t>
  </si>
  <si>
    <t>public const char ITEM_BEGIN = '{';</t>
  </si>
  <si>
    <t>}</t>
  </si>
  <si>
    <t>ITEM_END</t>
  </si>
  <si>
    <t>public const char ITEM_END = '}';</t>
  </si>
  <si>
    <t>,</t>
  </si>
  <si>
    <t>ITEM_HAS_ALIGNMENT_ATTRIBUTE</t>
  </si>
  <si>
    <t>public const char ITEM_HAS_ALIGNMENT_ATTRIBUTE = ',';</t>
  </si>
  <si>
    <t xml:space="preserve">            /// The last character seen by the parser is a sign, imeediately</t>
  </si>
  <si>
    <t xml:space="preserve">            /// preceded by a comma, both of which follow a unescaped French</t>
  </si>
  <si>
    <t xml:space="preserve">            /// brace.</t>
  </si>
  <si>
    <t xml:space="preserve">            AlignmentFlag ,</t>
  </si>
  <si>
    <t>public const char ITEM_HAS_FORMAT_STRING_ATTRIBUTE = ':';</t>
  </si>
  <si>
    <t>ITEM_HAS_FORMAT_STRING_ATTRIBUTE</t>
  </si>
  <si>
    <t>:</t>
  </si>
  <si>
    <t>char.IsDigit ( chr )</t>
  </si>
  <si>
    <t>Literal or Condition</t>
  </si>
  <si>
    <t>intStringNumber</t>
  </si>
  <si>
    <t>int</t>
  </si>
  <si>
    <t>-</t>
  </si>
  <si>
    <t>fsp</t>
  </si>
  <si>
    <t>{WizardWrx.FormatStringEngine.FormatStringParser}</t>
  </si>
  <si>
    <t>WizardWrx.FormatStringEngine.FormatStringParser</t>
  </si>
  <si>
    <t>_ficoll</t>
  </si>
  <si>
    <t>Count = 6</t>
  </si>
  <si>
    <t>WizardWrx.FormatStringEngine.FormatItemsCollection</t>
  </si>
  <si>
    <t>[0]</t>
  </si>
  <si>
    <t>{WizardWrx.FormatStringEngine.FormatItem}</t>
  </si>
  <si>
    <t>WizardWrx.FormatStringEngine.FormatItem</t>
  </si>
  <si>
    <t>_enmAlignment</t>
  </si>
  <si>
    <t>Unspecified</t>
  </si>
  <si>
    <t>WizardWrx.FormatStringEngine.FormatItem.Alignment</t>
  </si>
  <si>
    <t>_intItemIndex</t>
  </si>
  <si>
    <t>_intMinimumWidth</t>
  </si>
  <si>
    <t>_intRawLength</t>
  </si>
  <si>
    <t>_intStartOffset</t>
  </si>
  <si>
    <t>_strItemFormat</t>
  </si>
  <si>
    <t>null</t>
  </si>
  <si>
    <t>_uintAppearanceOrder</t>
  </si>
  <si>
    <t>AppearanceOrder</t>
  </si>
  <si>
    <t>Index</t>
  </si>
  <si>
    <t>ItemFormat</t>
  </si>
  <si>
    <t>MinimumWidth</t>
  </si>
  <si>
    <t>RawLength</t>
  </si>
  <si>
    <t>StartOffset</t>
  </si>
  <si>
    <t>TextAlignment</t>
  </si>
  <si>
    <t>+</t>
  </si>
  <si>
    <t>Static members</t>
  </si>
  <si>
    <t>[1]</t>
  </si>
  <si>
    <t>[2]</t>
  </si>
  <si>
    <t>[3]</t>
  </si>
  <si>
    <t>[4]</t>
  </si>
  <si>
    <t>[5]</t>
  </si>
  <si>
    <t>Raw View</t>
  </si>
  <si>
    <t>_intHighestFormatItemIndex</t>
  </si>
  <si>
    <t>_lstFormatStringErrors</t>
  </si>
  <si>
    <t>Count = 1</t>
  </si>
  <si>
    <t>System.Collections.Generic.List&lt;WizardWrx.FormatStringEngine.FormatStringError&gt;</t>
  </si>
  <si>
    <t>{@"Offset = 21, Character = 0, Parser State = FormatString, Message = Nondigit immediately following left brace.";}</t>
  </si>
  <si>
    <t>WizardWrx.FormatStringEngine.FormatStringError</t>
  </si>
  <si>
    <t>_chrBad</t>
  </si>
  <si>
    <t>48 '0'</t>
  </si>
  <si>
    <t>char</t>
  </si>
  <si>
    <t>_enmState</t>
  </si>
  <si>
    <t>FormatString</t>
  </si>
  <si>
    <t>WizardWrx.FormatStringEngine.FormatStringParser.State</t>
  </si>
  <si>
    <t>_intOffset</t>
  </si>
  <si>
    <t>_strMessage</t>
  </si>
  <si>
    <t>Nondigit immediately following left brace.</t>
  </si>
  <si>
    <t>BadCharacter</t>
  </si>
  <si>
    <t>Offset</t>
  </si>
  <si>
    <t>ParserState</t>
  </si>
  <si>
    <t>_strFormatString</t>
  </si>
  <si>
    <t xml:space="preserve">        String {0,2:N0}: {1}{4}                   Balanced:      {2}{6}                   Highest Index: {3}{4}</t>
  </si>
  <si>
    <t>FormatItems</t>
  </si>
  <si>
    <t>FormatStringErrorCount</t>
  </si>
  <si>
    <t>FormatStringErrors</t>
  </si>
  <si>
    <t>HighestFormatItemIndex</t>
  </si>
  <si>
    <t>intCurrStr</t>
  </si>
  <si>
    <t>intNStrings</t>
  </si>
  <si>
    <t>aintHightesItemIndex</t>
  </si>
  <si>
    <t>{int[9]}</t>
  </si>
  <si>
    <t>int[]</t>
  </si>
  <si>
    <t>ANNOUNCE_BEGIN</t>
  </si>
  <si>
    <t xml:space="preserve">    Format strings to test = {0}{1}</t>
  </si>
  <si>
    <t>ANNOUNCE_DONE</t>
  </si>
  <si>
    <t xml:space="preserve">    {0} format strings have been tested.</t>
  </si>
  <si>
    <t>PROGRESS_MSG</t>
  </si>
  <si>
    <t xml:space="preserve">        String {0,2:N0}: {1}{3}                   Highest Index: {2}{3}</t>
  </si>
  <si>
    <t>+/-</t>
  </si>
  <si>
    <t>Level 1</t>
  </si>
  <si>
    <t>Level 3</t>
  </si>
  <si>
    <t>Level 2</t>
  </si>
  <si>
    <t>Level 4</t>
  </si>
  <si>
    <t>Absolute File Name</t>
  </si>
  <si>
    <t>C:\Documents and Settings\DAG\My Documents\Visual Studio 2010\Projects\Tools_for_Programmers\PolyCat\PolyCat\ProgramParams.cs</t>
  </si>
  <si>
    <t xml:space="preserve">                     detail.GetPaddedLabel ( report ) ,                  // Token 0 = Label</t>
  </si>
  <si>
    <t>C:\Documents and Settings\DAG\My Documents\Visual Studio 2010\Projects\WizardWrx_Libs\SharedUtl4\SharedUtl4\ReportDetail.cs</t>
  </si>
  <si>
    <t xml:space="preserve">     2014/06/29 2.3     DAG    1) Add GetPaddedLabel method.</t>
  </si>
  <si>
    <t xml:space="preserve">                                  collection and the GetPaddedLabel method to</t>
  </si>
  <si>
    <t xml:space="preserve">         public string GetPaddedLabel ( ReportDetails pdtlColl )</t>
  </si>
  <si>
    <t xml:space="preserve">         }   // public string GetPaddedLabel</t>
  </si>
  <si>
    <t xml:space="preserve">         /// if a ReportDetails collection is passed in, GetPaddedLabel is called</t>
  </si>
  <si>
    <t xml:space="preserve">                 return this.GetPaddedLabel ( pdtlColl );</t>
  </si>
  <si>
    <t>C:\Documents and Settings\DAG\My Documents\Visual Studio 2010\Projects\WizardWrx_Libs\SharedUtl4\SharedUtl4_TestStand\Program.cs</t>
  </si>
  <si>
    <t xml:space="preserve">                     rdItem.GetPaddedLabel ( rdColl ) ,</t>
  </si>
  <si>
    <t xml:space="preserve">                         rdItem.GetPaddedLabel ( rdColl ) ,</t>
  </si>
  <si>
    <t>Line</t>
  </si>
  <si>
    <t>Absolute Path Name</t>
  </si>
  <si>
    <t>Leaf Directory</t>
  </si>
  <si>
    <t>AdjustToMaximumWidth Cases</t>
  </si>
  <si>
    <t>FormatStringParser State Table</t>
  </si>
  <si>
    <t>Populated FormatStringParser</t>
  </si>
  <si>
    <t>GetPaddedLabel XREF</t>
  </si>
  <si>
    <t>C:\Documents and Settings\DAG\My Documents\Visual Studio 2010\Projects\NOLANB\LogBasePruner\LogBasePruner\Program.cs</t>
  </si>
  <si>
    <t xml:space="preserve">             int intLongestLabel = rdtlsInputSummary.ComputeWidthofWidestLabel ( );</t>
  </si>
  <si>
    <t xml:space="preserve">                     pdtlColl.ComputeWidthofWidestLabel ( ) );</t>
  </si>
  <si>
    <t>C:\Documents and Settings\DAG\My Documents\Visual Studio 2010\Projects\WizardWrx_Libs\SharedUtl4\SharedUtl4\ReportDetails.cs</t>
  </si>
  <si>
    <t xml:space="preserve">                               1) ComputeWidthofWidestLabel</t>
  </si>
  <si>
    <t xml:space="preserve">         public int ComputeWidthofWidestLabel ( )</t>
  </si>
  <si>
    <t xml:space="preserve">         }   // public int ComputeWidthofWidestLabel</t>
  </si>
  <si>
    <t xml:space="preserve">                 rdColl.ComputeWidthofWidestLabel ( ) );</t>
  </si>
  <si>
    <t xml:space="preserve">                             int intRequiredWidth = rdColl.ComputeWidthofWidestLabel ( );</t>
  </si>
  <si>
    <t>ComputeWidthofWidestLabel XREF</t>
  </si>
  <si>
    <t>Done</t>
  </si>
  <si>
    <t>done</t>
  </si>
  <si>
    <t xml:space="preserve">                         ( uint ) pdtlColl.ComputeWidthOfWidestValue ( ) ,</t>
  </si>
  <si>
    <t xml:space="preserve">                               2) ComputeWidthOfWidestValue</t>
  </si>
  <si>
    <t xml:space="preserve">         public int ComputeWidthOfWidestValue ( )</t>
  </si>
  <si>
    <t xml:space="preserve">         }   // public int ComputeWidthOfWidestValue</t>
  </si>
  <si>
    <t xml:space="preserve">                 rdColl.ComputeWidthOfWidestValue ( ) ,</t>
  </si>
  <si>
    <t>ComputeWidthOfWidestValue XREF</t>
  </si>
  <si>
    <t>GetPaddedValue XREF</t>
  </si>
  <si>
    <t xml:space="preserve">                     detail.GetPaddedValue (                             // Token 1 = Value</t>
  </si>
  <si>
    <t xml:space="preserve">         public string GetPaddedValue (</t>
  </si>
  <si>
    <t xml:space="preserve">         }   // public string GetPaddedValue</t>
  </si>
  <si>
    <t xml:space="preserve">                     rdItem.GetPaddedValue (</t>
  </si>
  <si>
    <t xml:space="preserve">                         rdItem.GetPaddedValue (</t>
  </si>
  <si>
    <t>C:\Documents and Settings\DAG\My Documents\Visual Studio 2010\Projects\NOLANB\DataEaseDirectoryReader\DataEaseDirectoryReader\Program.cs</t>
  </si>
  <si>
    <t xml:space="preserve">                 Console.WriteLine ( rptDtl.FormatDetail ( ) );</t>
  </si>
  <si>
    <t xml:space="preserve">                               2) Allow exceptions to be thrown when FormatDetail</t>
  </si>
  <si>
    <t xml:space="preserve">                                  FormatDetail method to use it, if set and</t>
  </si>
  <si>
    <t xml:space="preserve">                               4) Add a FormatDetail overload that uses a </t>
  </si>
  <si>
    <t xml:space="preserve">         /// When the FormatDetail method is called before the object is fully</t>
  </si>
  <si>
    <t xml:space="preserve">         /// The state of this flag determines what happens when FormatDetail is</t>
  </si>
  <si>
    <t xml:space="preserve">         /// In that regard, the FormatDetail method creates a new object array</t>
  </si>
  <si>
    <t xml:space="preserve">         public string FormatDetail ( )</t>
  </si>
  <si>
    <t xml:space="preserve">         }   // public string FormatDetail ( ) (1 of 2)</t>
  </si>
  <si>
    <t xml:space="preserve">         public string FormatDetail ( ReportDetails pdtlColl )</t>
  </si>
  <si>
    <t xml:space="preserve">         }   // public string FormatDetail ( ) (2 of 2)</t>
  </si>
  <si>
    <t xml:space="preserve">         /// as if FormatDetail got the call.</t>
  </si>
  <si>
    <t xml:space="preserve">         /// This method encapsulates the code that runs in both FormatDetail</t>
  </si>
  <si>
    <t xml:space="preserve">         /// collection, calling FormatDetail on each object in turn, and passing</t>
  </si>
  <si>
    <t>C:\Documents and Settings\DAG\My Documents\Visual Studio 2010\Projects\WizardWrx_Libs\SharedUtl4\SharedUtl4_TestStand\FormatStringParsing_Drills.cs</t>
  </si>
  <si>
    <t xml:space="preserve">                 {   // Use the overloaded FormatDetail method that returns padded labels.</t>
  </si>
  <si>
    <t xml:space="preserve">                     Console.WriteLine ( dtl.FormatDetail ( rptDtlsColl ) );</t>
  </si>
  <si>
    <t>C:\Documents and Settings\DAG\My Documents\Visual Studio 2010\Projects\WizardWrx_Libs\SharedUtl4\SharedUtl4_TestStand\MaxStringLength_Tester.cs</t>
  </si>
  <si>
    <t xml:space="preserve">                         Console.WriteLine ( dtl.FormatDetail ( ) );</t>
  </si>
  <si>
    <t>FormatDetail XREF</t>
  </si>
  <si>
    <t>C:\Documents and Settings\DAG\My Documents\Visual Studio 2010\Projects\Console_Apps\ImageSizeReader\ImageSizeReader\Program.cs</t>
  </si>
  <si>
    <t xml:space="preserve">             const string PLURAL = @"s";</t>
  </si>
  <si>
    <t xml:space="preserve">                     return PLURAL;</t>
  </si>
  <si>
    <t>C:\Documents and Settings\DAG\My Documents\Visual Studio 2010\Projects\Tools_for_Programmers\CertStoreLister\CertStoreLister\Program.cs</t>
  </si>
  <si>
    <t xml:space="preserve">                     null ,                                  // string pstrPluralForm    = plural form of noun, or suffix</t>
  </si>
  <si>
    <t xml:space="preserve">         /// singular form, and that its plural is the same word with the letter</t>
  </si>
  <si>
    <t xml:space="preserve">         /// Replace all instances of pstrNoun in this string with the plural of</t>
  </si>
  <si>
    <t xml:space="preserve">         /// &lt;param name="pstrPluralForm"&gt;</t>
  </si>
  <si>
    <t xml:space="preserve">             string pstrPluralForm ,</t>
  </si>
  <si>
    <t xml:space="preserve">             const char PLURAL_FORM_IS_SUFFIX = '+';</t>
  </si>
  <si>
    <t xml:space="preserve">             const char PLURAL_SUFFIX_DEFAULT = 's';</t>
  </si>
  <si>
    <t xml:space="preserve">                 if ( string.IsNullOrEmpty ( pstrPluralForm ) )</t>
  </si>
  <si>
    <t xml:space="preserve">                             PLURAL_SUFFIX_DEFAULT ) );</t>
  </si>
  <si>
    <t xml:space="preserve">                     if ( pstrPluralForm [ FIRST_CHARACTER_IN_STRING ] == PLURAL_FORM_IS_SUFFIX )</t>
  </si>
  <si>
    <t xml:space="preserve">                                 pstrPluralForm.Substring ( STARTING_AT_SECOND_CHARACTER ) ) );</t>
  </si>
  <si>
    <t xml:space="preserve">                             pstrPluralForm );</t>
  </si>
  <si>
    <t>C:\Documents and Settings\DAG\My Documents\Visual Studio 2010\Projects\WizardWrx_Libs\SharedUtl2\SharedUtl2_Test_Harness\SharedUtl2_Test_Harness\Program.cs</t>
  </si>
  <si>
    <t xml:space="preserve">                                     MakePluralIfSo ( args.Length ) ,</t>
  </si>
  <si>
    <t xml:space="preserve">         private static string MakePluralIfSo ( int pintCount )</t>
  </si>
  <si>
    <t xml:space="preserve">             const string DEFAULT_PLURAL = @"s";</t>
  </si>
  <si>
    <t xml:space="preserve">                 return DEFAULT_PLURAL;</t>
  </si>
  <si>
    <t xml:space="preserve">         }   // private static string MakePluralIfSo</t>
  </si>
  <si>
    <t>C:\Documents and Settings\DAG\My Documents\Visual Studio 2010\Projects\Console_Apps\ImageSizeReader\ImageSizeReader\Program.cs Count</t>
  </si>
  <si>
    <t>C:\Documents and Settings\DAG\My Documents\Visual Studio 2010\Projects\Tools_for_Programmers\CertStoreLister\CertStoreLister\Program.cs Count</t>
  </si>
  <si>
    <t>C:\Documents and Settings\DAG\My Documents\Visual Studio 2010\Projects\WizardWrx_Libs\SharedUtl2\SharedUtl2_Test_Harness\SharedUtl2_Test_Harness\Program.cs Count</t>
  </si>
  <si>
    <t>Grand Count</t>
  </si>
  <si>
    <t>Modified Date</t>
  </si>
  <si>
    <t>ERRMSG_FORMAT_ITEM_DETAILS</t>
  </si>
  <si>
    <t>{3}    Format String        = {0}{3}    Format Item Number   = {1}{3}    Proposed Replacement = {2}</t>
  </si>
  <si>
    <t>Private method DeclineUpgrade uses this template to append the argument list to a message on behalf of public method UpgradeFormatItem.</t>
  </si>
  <si>
    <t>ERRMSG_INVALID_FORMAT_ITEM</t>
  </si>
  <si>
    <t>TThe specified format item upgrade string is invalid.{0}</t>
  </si>
  <si>
    <t>UpgradeFormatItem uses this template when it throws an InvalidOperationException exception.</t>
  </si>
  <si>
    <t>ERRMSG_MISSING_FORMAT_ITEM</t>
  </si>
  <si>
    <t>The specified format string is missing the specified format item.{0}</t>
  </si>
  <si>
    <t/>
  </si>
  <si>
    <t>Plural XREF</t>
  </si>
  <si>
    <t>Relocated String Reources</t>
  </si>
  <si>
    <t>plstAllErrors</t>
  </si>
  <si>
    <t>{Offset = 39, Character = ), Parser State = IndexComponet, Message = Nondigit immediately following left brace.}</t>
  </si>
  <si>
    <t>41 ')'</t>
  </si>
  <si>
    <t>IndexComponet</t>
  </si>
  <si>
    <t>intErrorCount</t>
  </si>
  <si>
    <t>ORDINAL_FROM_SUBSCRIPT</t>
  </si>
  <si>
    <t>POS_LABEL</t>
  </si>
  <si>
    <t>POS_VALUE</t>
  </si>
  <si>
    <t>DELIMITER</t>
  </si>
  <si>
    <t>61 '='</t>
  </si>
  <si>
    <t>More</t>
  </si>
  <si>
    <t>Stage</t>
  </si>
  <si>
    <t>Begin ListAllErrors</t>
  </si>
  <si>
    <t>Declare &amp; Initialize</t>
  </si>
  <si>
    <t>fse</t>
  </si>
  <si>
    <t>Cast to native type.</t>
  </si>
  <si>
    <t>Stash to save repeated trips into the collection.</t>
  </si>
  <si>
    <t>astrErrorDetails</t>
  </si>
  <si>
    <t>{string[4]}</t>
  </si>
  <si>
    <t>string[]</t>
  </si>
  <si>
    <t>Offset = 39</t>
  </si>
  <si>
    <t xml:space="preserve"> Character = )</t>
  </si>
  <si>
    <t xml:space="preserve"> Parser State = IndexComponet</t>
  </si>
  <si>
    <t xml:space="preserve"> Message = Nondigit immediately following left brace.</t>
  </si>
  <si>
    <t>The split function hides a call into a CSV parser.</t>
  </si>
  <si>
    <t>The leading spaces get stripped a bit later.</t>
  </si>
  <si>
    <t>intNDetails</t>
  </si>
  <si>
    <t xml:space="preserve">    Details for error 1 of 1: </t>
  </si>
  <si>
    <t>astrErrorSummaryFirst</t>
  </si>
  <si>
    <t>{string[1]}</t>
  </si>
  <si>
    <t>Put this into the first report item.</t>
  </si>
  <si>
    <t>astrErrorSummaryAllOthers</t>
  </si>
  <si>
    <t xml:space="preserve">                              </t>
  </si>
  <si>
    <t>Put this into all remaining items.</t>
  </si>
  <si>
    <t>astrLabelAndValue</t>
  </si>
  <si>
    <t>{string[2]}</t>
  </si>
  <si>
    <t xml:space="preserve">Offset </t>
  </si>
  <si>
    <t>int intErrorCount = plstAllErrors.Count;</t>
  </si>
  <si>
    <t>C# Statement</t>
  </si>
  <si>
    <t>FormatStringError fse = plstAllErrors [ intI ];</t>
  </si>
  <si>
    <t>string [ ] astrErrorDetails = fse.Spiit ( );</t>
  </si>
  <si>
    <t>int intNDetails = astrErrorDetails.Length;</t>
  </si>
  <si>
    <t>rptDtlsColl</t>
  </si>
  <si>
    <t>Count = 0</t>
  </si>
  <si>
    <t>WizardWrx.ReportDetails</t>
  </si>
  <si>
    <t>Declare, EMPTY</t>
  </si>
  <si>
    <t>string [ ] astrErrorSummaryFirst = new string [ ] …</t>
  </si>
  <si>
    <t>string [ ] astrErrorSummaryAllOthers = new string [ ]</t>
  </si>
  <si>
    <t>string.Empty.PadRight ( astrErrorSummaryFirst [ StandardConstants.ARRAY_FIRST_ELEMENT ].Length )</t>
  </si>
  <si>
    <t>string [ ] astrLabelAndValue = astrErrorDetails [ uintJ ].Split ( DELIMITER );</t>
  </si>
  <si>
    <t>This is a real, built-in split().</t>
  </si>
  <si>
    <t>this</t>
  </si>
  <si>
    <t>{WizardWrx.ReportDetail}</t>
  </si>
  <si>
    <t>WizardWrx.ReportDetail</t>
  </si>
  <si>
    <t>Empty</t>
  </si>
  <si>
    <t>WizardWrx.ReportDetail.State</t>
  </si>
  <si>
    <t>_objValue</t>
  </si>
  <si>
    <t>object</t>
  </si>
  <si>
    <t>_strDisplayFormat</t>
  </si>
  <si>
    <t>_strDisplayValue</t>
  </si>
  <si>
    <t>_strLabel</t>
  </si>
  <si>
    <t>_uintDisplayOrder</t>
  </si>
  <si>
    <t>DetailState</t>
  </si>
  <si>
    <t>DisplayFormat</t>
  </si>
  <si>
    <t>{3}    {0} = {1}</t>
  </si>
  <si>
    <t>DisplayOrder</t>
  </si>
  <si>
    <t>DisplayValue</t>
  </si>
  <si>
    <t>Label</t>
  </si>
  <si>
    <t>LabelChanged</t>
  </si>
  <si>
    <t>System.EventHandler</t>
  </si>
  <si>
    <t>SupplementaryDetails</t>
  </si>
  <si>
    <t>object[]</t>
  </si>
  <si>
    <t>pstrLabel</t>
  </si>
  <si>
    <t>pstrDisplayValue</t>
  </si>
  <si>
    <t>puintDisplayOrder</t>
  </si>
  <si>
    <t>pstrDisplayFormat</t>
  </si>
  <si>
    <t>paobjSupplementaryDetails</t>
  </si>
  <si>
    <t>object[] {string[]}</t>
  </si>
  <si>
    <t>object {string}</t>
  </si>
  <si>
    <t>Entering ctor</t>
  </si>
  <si>
    <t>private State _enmState = State.Empty;</t>
  </si>
  <si>
    <t>private string _strLabel = null;</t>
  </si>
  <si>
    <t>private object _objValue = null;</t>
  </si>
  <si>
    <t>private string _strDisplayValue = null;</t>
  </si>
  <si>
    <t>private string _strDisplayFormat = null;</t>
  </si>
  <si>
    <t>private uint _uintDisplayOrder = StandardConstants.ZERO;</t>
  </si>
  <si>
    <t>private static object [ ] _aobjSupplementaryDetails = null;</t>
  </si>
  <si>
    <t>string pstrLabel ,</t>
  </si>
  <si>
    <t>string pstrDisplayValue ,</t>
  </si>
  <si>
    <t>uint puintDisplayOrder ,</t>
  </si>
  <si>
    <t>string pstrDisplayFormat ,</t>
  </si>
  <si>
    <t>object [ ] paobjSupplementaryDetails )</t>
  </si>
  <si>
    <t>Present the arguments.</t>
  </si>
  <si>
    <t>This is a static initializer appended to the declaration.</t>
  </si>
  <si>
    <t>HaveLabel | HaveValueString | HaveListOrder | HaveFormatItems</t>
  </si>
  <si>
    <t>Leaving ctor</t>
  </si>
  <si>
    <t>Entering ctor 2nd</t>
  </si>
  <si>
    <t>Character</t>
  </si>
  <si>
    <t>)</t>
  </si>
  <si>
    <t>this.Label = pstrLabel;</t>
  </si>
  <si>
    <t>this.DisplayValue = pstrDisplayValue;</t>
  </si>
  <si>
    <t>this.DisplayOrder = puintDisplayOrder;</t>
  </si>
  <si>
    <t>this.DisplayFormat = pstrDisplayFormat;</t>
  </si>
  <si>
    <t>this.SupplementaryDetails = paobjSupplementaryDetails;</t>
  </si>
  <si>
    <t>Leaving ctor 2nd</t>
  </si>
  <si>
    <t>uint uintWidthOfWidestLabel = this.WidthOfWidestLabel;</t>
  </si>
  <si>
    <t>public void ListAllItems ( TextWriter pswOut )</t>
  </si>
  <si>
    <t>Entering lister</t>
  </si>
  <si>
    <t>uintWidthOfWidestLabel</t>
  </si>
  <si>
    <t>Absolute PathName</t>
  </si>
  <si>
    <t>Unqualified FileName</t>
  </si>
  <si>
    <t>Absolute FileName</t>
  </si>
  <si>
    <t>C:\Documents and Settings\DAG\My Documents\Visual Studio 2010\Projects\NOLANB\DataEaseDirectoryReader\WizardWrx.BinaryIO\TableDrivenConversionEngine.cs</t>
  </si>
  <si>
    <t xml:space="preserve">             public uint uintDefaultDisplayOrder;</t>
  </si>
  <si>
    <t xml:space="preserve">                     raDefaultColumnLabels [ intCurrent ].DefaultOrder = _aRules [ intCurrent ].uintDefaultDisplayOrder;</t>
  </si>
  <si>
    <t xml:space="preserve">         /// Given a field number, return the DefaultDisplayOrder property from its rule.</t>
  </si>
  <si>
    <t xml:space="preserve">         /// The returned string is the DefaultDisplayOrder value defined in the</t>
  </si>
  <si>
    <t xml:space="preserve">         public uint GetDefaultDisplayOrder ( long plngFieldNumber )</t>
  </si>
  <si>
    <t xml:space="preserve">                 return _aRules [ RuleIndexFromFieldNumber ( plngFieldNumber ) ].uintDefaultDisplayOrder;</t>
  </si>
  <si>
    <t xml:space="preserve">         }   // public uint GetDefaultDisplayOrder</t>
  </si>
  <si>
    <t xml:space="preserve">                         rule.uintDefaultDisplayOrder ,</t>
  </si>
  <si>
    <t xml:space="preserve">                             rruleNew.uintDefaultDisplayOrder = ParseUnsignedInteger (</t>
  </si>
  <si>
    <t xml:space="preserve">                               2) Add DisplayOrder as an instance property that</t>
  </si>
  <si>
    <t xml:space="preserve">                                  defaults to zero. To make DisplayOrder useful,</t>
  </si>
  <si>
    <t xml:space="preserve">         private uint _uintDisplayOrder = StandardConstants.ZERO;</t>
  </si>
  <si>
    <t xml:space="preserve">         /// Create a ReportDetail, and set its Label and DisplayOrder</t>
  </si>
  <si>
    <t xml:space="preserve">         /// &lt;param name="puintDisplayOrder"&gt;</t>
  </si>
  <si>
    <t xml:space="preserve">         /// DisplayOrder must be greater than zero.</t>
  </si>
  <si>
    <t xml:space="preserve">             uint puintDisplayOrder )</t>
  </si>
  <si>
    <t xml:space="preserve">             this.DisplayOrder = puintDisplayOrder;</t>
  </si>
  <si>
    <t xml:space="preserve">         /// Create a ReportDetail, and set its Label, DisplayOrder, and </t>
  </si>
  <si>
    <t xml:space="preserve">             uint puintDisplayOrder ,</t>
  </si>
  <si>
    <t xml:space="preserve">         /// Create a ReportDetail, and set its Label, DisplayOrder, </t>
  </si>
  <si>
    <t xml:space="preserve">         /// Create a ReportDetail, and set its Label, Value, DisplayOrder, and</t>
  </si>
  <si>
    <t xml:space="preserve">         /// Create a ReportDetail, and set its Label, Value, DisplayOrder,</t>
  </si>
  <si>
    <t xml:space="preserve">         /// DisplayOrder, and DisplayFormat properties.</t>
  </si>
  <si>
    <t xml:space="preserve">         /// DisplayOrder, DisplayFormat, and SupplementaryDetails properties.</t>
  </si>
  <si>
    <t xml:space="preserve">         /// DisplayValue, and DisplayOrder properties.</t>
  </si>
  <si>
    <t xml:space="preserve">         /// DisplayValue, DisplayOrder, and DisplayFormat properties.</t>
  </si>
  <si>
    <t xml:space="preserve">         /// DisplayValue, DisplayOrder, DisplayFormat, and SupplementaryDetails</t>
  </si>
  <si>
    <t xml:space="preserve">         public uint DisplayOrder</t>
  </si>
  <si>
    <t xml:space="preserve">             get { return _uintDisplayOrder; }</t>
  </si>
  <si>
    <t xml:space="preserve">                 _uintDisplayOrder = value;</t>
  </si>
  <si>
    <t xml:space="preserve">             }   // public uint DisplayOrder setter method</t>
  </si>
  <si>
    <t xml:space="preserve">         }   // public uint DisplayOrder</t>
  </si>
  <si>
    <t xml:space="preserve">                 _uintDisplayOrder , </t>
  </si>
  <si>
    <t xml:space="preserve">                 return _uintDisplayOrder.CompareTo ( dtl._uintDisplayOrder );</t>
  </si>
  <si>
    <t xml:space="preserve">                                  automatically increment a newDisplayOrder</t>
  </si>
  <si>
    <t xml:space="preserve">                 //  My initial implementation set the DisplayOrder on the new</t>
  </si>
  <si>
    <t xml:space="preserve">                 if ( prDtl.DisplayOrder == StandardConstants.ZERO )</t>
  </si>
  <si>
    <t xml:space="preserve">                 {   // If it arrives with a nonzero DisplayOrder, leave it.</t>
  </si>
  <si>
    <t xml:space="preserve">                     prDtl.DisplayOrder = ( uint ) ( ( this.Count * s_uintIncrement ) );</t>
  </si>
  <si>
    <t xml:space="preserve">                 }   // if ( prDtl.DisplayOrder == StandardConstants.ZERO )</t>
  </si>
  <si>
    <t xml:space="preserve">         /// DisplayOrder property.</t>
  </si>
  <si>
    <t>C:\Documents and Settings\DAG\My Documents\Visual Studio 2010\Projects\WizardWrx_Libs\SharedUtl4\SharedUtl4\Properties\Resources.Designer.cs</t>
  </si>
  <si>
    <t xml:space="preserve">         ///   Looks up a localized string similar to ERROR: The DisplayOrder property cannot be set to zero..</t>
  </si>
  <si>
    <t>C:\Documents and Settings\DAG\My Documents\Visual Studio 2010\Projects\WizardWrx_Libs\SharedUtl4\SharedUtl4_TestStand\Properties\Resources.Designer.cs</t>
  </si>
  <si>
    <t xml:space="preserve">         ///   Looks up a localized string similar to {0}The DisplayOrder properties are auto-generated.{0}.</t>
  </si>
  <si>
    <t xml:space="preserve">         ///   Looks up a localized string similar to {0}The DisplayOrder properties of selected items were explicitly set.{0}.</t>
  </si>
  <si>
    <t>C:\Documents and Settings\DAG\My Documents\Visual Studio 2010\Projects\NOLANB\DataEaseDirectoryReader\WizardWrx.BinaryIO\TableDrivenConversionEngine.cs Count</t>
  </si>
  <si>
    <t>C:\Documents and Settings\DAG\My Documents\Visual Studio 2010\Projects\WizardWrx_Libs\SharedUtl4\SharedUtl4\ReportDetail.cs Count</t>
  </si>
  <si>
    <t>C:\Documents and Settings\DAG\My Documents\Visual Studio 2010\Projects\WizardWrx_Libs\SharedUtl4\SharedUtl4\ReportDetails.cs Count</t>
  </si>
  <si>
    <t>C:\Documents and Settings\DAG\My Documents\Visual Studio 2010\Projects\WizardWrx_Libs\SharedUtl4\SharedUtl4\Properties\Resources.Designer.cs Count</t>
  </si>
  <si>
    <t>C:\Documents and Settings\DAG\My Documents\Visual Studio 2010\Projects\WizardWrx_Libs\SharedUtl4\SharedUtl4_TestStand\Properties\Resources.Designer.cs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</si>
</sst>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/mm/dd\ hh:mm:ss"/>
    <numFmt numFmtId="165" formatCode="#,##0.000"/>
  </numFmts>
  <fonts count="16" x14ac:knownFonts="1">
    <font>
      <sz val="11"/>
      <color theme="1"/>
      <name val="Consolas"/>
      <family val="2"/>
    </font>
    <font>
      <b/>
      <sz val="11"/>
      <color theme="1"/>
      <name val="Tahoma"/>
      <family val="2"/>
    </font>
    <font>
      <b/>
      <sz val="14"/>
      <color theme="0"/>
      <name val="Tahoma"/>
      <family val="2"/>
    </font>
    <font>
      <sz val="11"/>
      <color theme="1"/>
      <name val="Tahoma"/>
      <family val="2"/>
    </font>
    <font>
      <b/>
      <sz val="12"/>
      <color theme="1"/>
      <name val="Tahoma"/>
      <family val="2"/>
    </font>
    <font>
      <b/>
      <sz val="12"/>
      <color theme="0"/>
      <name val="Tahoma"/>
      <family val="2"/>
    </font>
    <font>
      <u/>
      <sz val="11"/>
      <color theme="10"/>
      <name val="Consolas"/>
      <family val="2"/>
    </font>
    <font>
      <b/>
      <sz val="12"/>
      <color rgb="FFFFC000"/>
      <name val="Tahoma"/>
      <family val="2"/>
    </font>
    <font>
      <sz val="8"/>
      <color theme="1"/>
      <name val="Consolas"/>
      <family val="2"/>
    </font>
    <font>
      <b/>
      <sz val="14"/>
      <color rgb="FFFFC000"/>
      <name val="Tahoma"/>
      <family val="2"/>
    </font>
    <font>
      <b/>
      <sz val="11"/>
      <color rgb="FFFFC000"/>
      <name val="Tahoma"/>
      <family val="2"/>
    </font>
    <font>
      <sz val="10"/>
      <color theme="1"/>
      <name val="Tahoma"/>
      <family val="2"/>
    </font>
    <font>
      <b/>
      <sz val="8"/>
      <color rgb="FFFFFF00"/>
      <name val="Tahoma"/>
      <family val="2"/>
    </font>
    <font>
      <b/>
      <sz val="14"/>
      <color rgb="FFFFFF00"/>
      <name val="Tahoma"/>
      <family val="2"/>
    </font>
    <font>
      <b/>
      <sz val="14"/>
      <color theme="5" tint="0.79998168889431442"/>
      <name val="Tahoma"/>
      <family val="2"/>
    </font>
    <font>
      <sz val="8"/>
      <color theme="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51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7030A0"/>
      </left>
      <right/>
      <top style="thin">
        <color rgb="FFFFC000"/>
      </top>
      <bottom style="thin">
        <color rgb="FF7030A0"/>
      </bottom>
      <diagonal/>
    </border>
    <border>
      <left/>
      <right/>
      <top style="thin">
        <color rgb="FFFFC000"/>
      </top>
      <bottom style="thin">
        <color rgb="FF7030A0"/>
      </bottom>
      <diagonal/>
    </border>
    <border>
      <left/>
      <right style="thin">
        <color rgb="FF7030A0"/>
      </right>
      <top style="thin">
        <color rgb="FFFFC00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5" tint="0.39997558519241921"/>
      </left>
      <right style="thin">
        <color theme="5" tint="0.39997558519241921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/>
      <right style="thin">
        <color rgb="FFFFC000"/>
      </right>
      <top style="thin">
        <color rgb="FFFFC000"/>
      </top>
      <bottom style="thin">
        <color rgb="FFFFC000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0070C0"/>
      </bottom>
      <diagonal/>
    </border>
    <border>
      <left/>
      <right style="thin">
        <color rgb="FF0070C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 style="thin">
        <color rgb="FF0070C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thin">
        <color rgb="FF002060"/>
      </left>
      <right style="thin">
        <color rgb="FF002060"/>
      </right>
      <top style="thin">
        <color rgb="FFFFC00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FFC000"/>
      </top>
      <bottom style="thin">
        <color rgb="FF002060"/>
      </bottom>
      <diagonal/>
    </border>
    <border>
      <left/>
      <right/>
      <top style="thin">
        <color rgb="FFFFC000"/>
      </top>
      <bottom style="thin">
        <color rgb="FF002060"/>
      </bottom>
      <diagonal/>
    </border>
    <border>
      <left/>
      <right style="thin">
        <color rgb="FF002060"/>
      </right>
      <top style="thin">
        <color rgb="FFFFC000"/>
      </top>
      <bottom style="thin">
        <color rgb="FF00206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rgb="FFFFFF00"/>
      </left>
      <right style="thin">
        <color rgb="FFFFFF00"/>
      </right>
      <top/>
      <bottom/>
      <diagonal/>
    </border>
    <border>
      <left style="thin">
        <color rgb="FFFFFF00"/>
      </left>
      <right style="thin">
        <color rgb="FFFFFF00"/>
      </right>
      <top style="thin">
        <color rgb="FFFFFF00"/>
      </top>
      <bottom/>
      <diagonal/>
    </border>
    <border>
      <left style="thin">
        <color theme="5" tint="0.79998168889431442"/>
      </left>
      <right style="thin">
        <color theme="5" tint="0.79998168889431442"/>
      </right>
      <top style="thin">
        <color theme="5" tint="0.79998168889431442"/>
      </top>
      <bottom style="thin">
        <color theme="5" tint="0.7999816888943144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0.79998168889431442"/>
      </top>
      <bottom style="thin">
        <color theme="5" tint="-0.499984740745262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3" borderId="1" xfId="0" applyFont="1" applyFill="1" applyBorder="1"/>
    <xf numFmtId="0" fontId="3" fillId="3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/>
    </xf>
    <xf numFmtId="0" fontId="0" fillId="3" borderId="2" xfId="0" applyFont="1" applyFill="1" applyBorder="1" applyAlignment="1">
      <alignment vertical="top"/>
    </xf>
    <xf numFmtId="0" fontId="0" fillId="3" borderId="3" xfId="0" applyFont="1" applyFill="1" applyBorder="1" applyAlignment="1">
      <alignment vertical="top"/>
    </xf>
    <xf numFmtId="0" fontId="3" fillId="0" borderId="1" xfId="0" applyFont="1" applyBorder="1"/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/>
    </xf>
    <xf numFmtId="0" fontId="0" fillId="0" borderId="2" xfId="0" applyFont="1" applyBorder="1" applyAlignment="1">
      <alignment vertical="top"/>
    </xf>
    <xf numFmtId="0" fontId="0" fillId="0" borderId="3" xfId="0" applyFont="1" applyBorder="1" applyAlignment="1">
      <alignment vertical="top"/>
    </xf>
    <xf numFmtId="0" fontId="3" fillId="0" borderId="4" xfId="0" applyFont="1" applyBorder="1"/>
    <xf numFmtId="0" fontId="3" fillId="0" borderId="5" xfId="0" applyFont="1" applyBorder="1" applyAlignment="1">
      <alignment vertical="top" wrapText="1"/>
    </xf>
    <xf numFmtId="0" fontId="3" fillId="0" borderId="5" xfId="0" applyFont="1" applyBorder="1" applyAlignment="1">
      <alignment vertical="top"/>
    </xf>
    <xf numFmtId="0" fontId="0" fillId="0" borderId="5" xfId="0" applyFont="1" applyBorder="1" applyAlignment="1">
      <alignment vertical="top" wrapText="1"/>
    </xf>
    <xf numFmtId="0" fontId="0" fillId="0" borderId="5" xfId="0" applyFont="1" applyBorder="1" applyAlignment="1">
      <alignment vertical="top"/>
    </xf>
    <xf numFmtId="0" fontId="0" fillId="0" borderId="6" xfId="0" applyFont="1" applyBorder="1" applyAlignment="1">
      <alignment vertical="top"/>
    </xf>
    <xf numFmtId="0" fontId="3" fillId="0" borderId="0" xfId="0" applyFont="1"/>
    <xf numFmtId="0" fontId="0" fillId="0" borderId="4" xfId="0" applyFont="1" applyBorder="1"/>
    <xf numFmtId="0" fontId="0" fillId="0" borderId="6" xfId="0" applyFont="1" applyBorder="1"/>
    <xf numFmtId="0" fontId="0" fillId="3" borderId="1" xfId="0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3" xfId="0" applyFont="1" applyBorder="1"/>
    <xf numFmtId="0" fontId="0" fillId="0" borderId="0" xfId="0"/>
    <xf numFmtId="0" fontId="0" fillId="0" borderId="0" xfId="0"/>
    <xf numFmtId="0" fontId="3" fillId="3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5" xfId="0" applyFont="1" applyBorder="1"/>
    <xf numFmtId="0" fontId="3" fillId="0" borderId="6" xfId="0" applyFont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2" fillId="2" borderId="0" xfId="0" applyFont="1" applyFill="1" applyBorder="1"/>
    <xf numFmtId="164" fontId="0" fillId="3" borderId="3" xfId="0" applyNumberFormat="1" applyFont="1" applyFill="1" applyBorder="1" applyAlignment="1">
      <alignment vertical="top"/>
    </xf>
    <xf numFmtId="164" fontId="0" fillId="0" borderId="3" xfId="0" applyNumberFormat="1" applyFont="1" applyBorder="1" applyAlignment="1">
      <alignment vertical="top"/>
    </xf>
    <xf numFmtId="164" fontId="0" fillId="0" borderId="6" xfId="0" applyNumberFormat="1" applyFont="1" applyBorder="1" applyAlignment="1">
      <alignment vertical="top"/>
    </xf>
    <xf numFmtId="0" fontId="0" fillId="0" borderId="0" xfId="0"/>
    <xf numFmtId="22" fontId="0" fillId="0" borderId="0" xfId="0" applyNumberFormat="1"/>
    <xf numFmtId="3" fontId="0" fillId="0" borderId="0" xfId="0" applyNumberFormat="1"/>
    <xf numFmtId="0" fontId="4" fillId="0" borderId="0" xfId="0" applyFont="1"/>
    <xf numFmtId="0" fontId="4" fillId="0" borderId="0" xfId="0" applyFont="1" applyAlignment="1">
      <alignment horizontal="right"/>
    </xf>
    <xf numFmtId="0" fontId="0" fillId="0" borderId="0" xfId="0"/>
    <xf numFmtId="164" fontId="0" fillId="0" borderId="0" xfId="0" applyNumberFormat="1"/>
    <xf numFmtId="0" fontId="0" fillId="0" borderId="5" xfId="0" applyFont="1" applyBorder="1"/>
    <xf numFmtId="164" fontId="0" fillId="0" borderId="5" xfId="0" applyNumberFormat="1" applyFont="1" applyBorder="1"/>
    <xf numFmtId="3" fontId="0" fillId="0" borderId="5" xfId="0" applyNumberFormat="1" applyFont="1" applyBorder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0" fillId="3" borderId="2" xfId="0" applyFont="1" applyFill="1" applyBorder="1"/>
    <xf numFmtId="164" fontId="0" fillId="3" borderId="2" xfId="0" applyNumberFormat="1" applyFont="1" applyFill="1" applyBorder="1"/>
    <xf numFmtId="0" fontId="0" fillId="0" borderId="2" xfId="0" applyFont="1" applyBorder="1"/>
    <xf numFmtId="164" fontId="0" fillId="0" borderId="2" xfId="0" applyNumberFormat="1" applyFont="1" applyBorder="1"/>
    <xf numFmtId="3" fontId="0" fillId="3" borderId="2" xfId="0" applyNumberFormat="1" applyFont="1" applyFill="1" applyBorder="1"/>
    <xf numFmtId="3" fontId="0" fillId="0" borderId="2" xfId="0" applyNumberFormat="1" applyFont="1" applyBorder="1"/>
    <xf numFmtId="0" fontId="0" fillId="0" borderId="0" xfId="0"/>
    <xf numFmtId="0" fontId="7" fillId="4" borderId="7" xfId="0" applyFont="1" applyFill="1" applyBorder="1"/>
    <xf numFmtId="0" fontId="7" fillId="4" borderId="7" xfId="0" applyFont="1" applyFill="1" applyBorder="1" applyAlignment="1">
      <alignment horizontal="right"/>
    </xf>
    <xf numFmtId="0" fontId="0" fillId="5" borderId="8" xfId="0" applyFill="1" applyBorder="1"/>
    <xf numFmtId="164" fontId="0" fillId="5" borderId="9" xfId="0" applyNumberFormat="1" applyFill="1" applyBorder="1"/>
    <xf numFmtId="3" fontId="0" fillId="5" borderId="9" xfId="0" applyNumberFormat="1" applyFill="1" applyBorder="1"/>
    <xf numFmtId="165" fontId="0" fillId="5" borderId="9" xfId="0" applyNumberFormat="1" applyFill="1" applyBorder="1"/>
    <xf numFmtId="0" fontId="0" fillId="5" borderId="10" xfId="0" applyFill="1" applyBorder="1"/>
    <xf numFmtId="0" fontId="0" fillId="0" borderId="11" xfId="0" applyBorder="1"/>
    <xf numFmtId="164" fontId="0" fillId="0" borderId="11" xfId="0" applyNumberFormat="1" applyBorder="1"/>
    <xf numFmtId="3" fontId="0" fillId="0" borderId="11" xfId="0" applyNumberFormat="1" applyBorder="1"/>
    <xf numFmtId="165" fontId="0" fillId="0" borderId="11" xfId="0" applyNumberFormat="1" applyBorder="1"/>
    <xf numFmtId="0" fontId="0" fillId="5" borderId="11" xfId="0" applyFill="1" applyBorder="1"/>
    <xf numFmtId="164" fontId="0" fillId="5" borderId="11" xfId="0" applyNumberFormat="1" applyFill="1" applyBorder="1"/>
    <xf numFmtId="3" fontId="0" fillId="5" borderId="11" xfId="0" applyNumberFormat="1" applyFill="1" applyBorder="1"/>
    <xf numFmtId="165" fontId="0" fillId="5" borderId="11" xfId="0" applyNumberFormat="1" applyFill="1" applyBorder="1"/>
    <xf numFmtId="0" fontId="8" fillId="0" borderId="12" xfId="0" applyFont="1" applyBorder="1"/>
    <xf numFmtId="0" fontId="8" fillId="7" borderId="13" xfId="0" applyFont="1" applyFill="1" applyBorder="1"/>
    <xf numFmtId="0" fontId="8" fillId="0" borderId="13" xfId="0" applyFont="1" applyBorder="1"/>
    <xf numFmtId="0" fontId="0" fillId="7" borderId="13" xfId="0" applyFont="1" applyFill="1" applyBorder="1"/>
    <xf numFmtId="0" fontId="0" fillId="0" borderId="13" xfId="0" applyFont="1" applyBorder="1"/>
    <xf numFmtId="0" fontId="0" fillId="0" borderId="12" xfId="0" applyFont="1" applyBorder="1"/>
    <xf numFmtId="0" fontId="8" fillId="7" borderId="15" xfId="0" applyFont="1" applyFill="1" applyBorder="1"/>
    <xf numFmtId="0" fontId="0" fillId="7" borderId="15" xfId="0" applyFont="1" applyFill="1" applyBorder="1"/>
    <xf numFmtId="0" fontId="2" fillId="6" borderId="14" xfId="0" applyFont="1" applyFill="1" applyBorder="1"/>
    <xf numFmtId="0" fontId="0" fillId="7" borderId="15" xfId="0" quotePrefix="1" applyFont="1" applyFill="1" applyBorder="1"/>
    <xf numFmtId="0" fontId="6" fillId="0" borderId="0" xfId="1"/>
    <xf numFmtId="0" fontId="9" fillId="8" borderId="22" xfId="0" applyFont="1" applyFill="1" applyBorder="1" applyAlignment="1">
      <alignment vertical="top"/>
    </xf>
    <xf numFmtId="0" fontId="9" fillId="8" borderId="7" xfId="0" applyFont="1" applyFill="1" applyBorder="1" applyAlignment="1">
      <alignment horizontal="right" vertical="top"/>
    </xf>
    <xf numFmtId="0" fontId="0" fillId="0" borderId="21" xfId="0" applyBorder="1" applyAlignment="1">
      <alignment vertical="top"/>
    </xf>
    <xf numFmtId="0" fontId="0" fillId="0" borderId="21" xfId="0" applyBorder="1" applyAlignment="1">
      <alignment horizontal="left"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0" fontId="0" fillId="9" borderId="21" xfId="0" applyFill="1" applyBorder="1" applyAlignment="1">
      <alignment vertical="top"/>
    </xf>
    <xf numFmtId="0" fontId="11" fillId="0" borderId="21" xfId="0" applyFont="1" applyBorder="1" applyAlignment="1">
      <alignment vertical="top" wrapText="1"/>
    </xf>
    <xf numFmtId="0" fontId="0" fillId="0" borderId="32" xfId="0" applyBorder="1" applyAlignment="1">
      <alignment vertical="top"/>
    </xf>
    <xf numFmtId="0" fontId="0" fillId="0" borderId="0" xfId="0"/>
    <xf numFmtId="0" fontId="9" fillId="10" borderId="7" xfId="0" applyFont="1" applyFill="1" applyBorder="1"/>
    <xf numFmtId="0" fontId="8" fillId="0" borderId="36" xfId="0" applyFont="1" applyBorder="1"/>
    <xf numFmtId="0" fontId="0" fillId="0" borderId="36" xfId="0" applyFont="1" applyBorder="1"/>
    <xf numFmtId="0" fontId="12" fillId="11" borderId="35" xfId="0" applyFont="1" applyFill="1" applyBorder="1"/>
    <xf numFmtId="0" fontId="0" fillId="0" borderId="36" xfId="0" quotePrefix="1" applyFont="1" applyBorder="1"/>
    <xf numFmtId="0" fontId="0" fillId="0" borderId="0" xfId="0"/>
    <xf numFmtId="0" fontId="0" fillId="0" borderId="0" xfId="0"/>
    <xf numFmtId="0" fontId="2" fillId="6" borderId="44" xfId="0" applyFont="1" applyFill="1" applyBorder="1"/>
    <xf numFmtId="0" fontId="2" fillId="6" borderId="45" xfId="0" applyFont="1" applyFill="1" applyBorder="1"/>
    <xf numFmtId="0" fontId="2" fillId="6" borderId="46" xfId="0" applyFont="1" applyFill="1" applyBorder="1"/>
    <xf numFmtId="0" fontId="0" fillId="7" borderId="44" xfId="0" applyFont="1" applyFill="1" applyBorder="1" applyAlignment="1">
      <alignment vertical="top"/>
    </xf>
    <xf numFmtId="0" fontId="0" fillId="7" borderId="45" xfId="0" applyFont="1" applyFill="1" applyBorder="1" applyAlignment="1">
      <alignment vertical="top"/>
    </xf>
    <xf numFmtId="0" fontId="0" fillId="7" borderId="46" xfId="0" applyFont="1" applyFill="1" applyBorder="1" applyAlignment="1">
      <alignment vertical="top"/>
    </xf>
    <xf numFmtId="0" fontId="0" fillId="0" borderId="44" xfId="0" applyFont="1" applyBorder="1" applyAlignment="1">
      <alignment vertical="top"/>
    </xf>
    <xf numFmtId="0" fontId="0" fillId="0" borderId="45" xfId="0" applyFont="1" applyBorder="1" applyAlignment="1">
      <alignment vertical="top"/>
    </xf>
    <xf numFmtId="0" fontId="0" fillId="0" borderId="46" xfId="0" applyFont="1" applyBorder="1" applyAlignment="1">
      <alignment vertical="top"/>
    </xf>
    <xf numFmtId="0" fontId="0" fillId="0" borderId="41" xfId="0" applyFont="1" applyBorder="1" applyAlignment="1">
      <alignment vertical="top"/>
    </xf>
    <xf numFmtId="0" fontId="0" fillId="0" borderId="42" xfId="0" applyFont="1" applyBorder="1" applyAlignment="1">
      <alignment vertical="top"/>
    </xf>
    <xf numFmtId="0" fontId="0" fillId="0" borderId="43" xfId="0" applyFont="1" applyBorder="1" applyAlignment="1">
      <alignment vertical="top"/>
    </xf>
    <xf numFmtId="0" fontId="0" fillId="7" borderId="46" xfId="0" applyFont="1" applyFill="1" applyBorder="1" applyAlignment="1">
      <alignment vertical="top" wrapText="1"/>
    </xf>
    <xf numFmtId="0" fontId="0" fillId="0" borderId="46" xfId="0" applyFont="1" applyBorder="1" applyAlignment="1">
      <alignment vertical="top" wrapText="1"/>
    </xf>
    <xf numFmtId="0" fontId="0" fillId="0" borderId="43" xfId="0" applyFont="1" applyBorder="1" applyAlignment="1">
      <alignment vertical="top" wrapText="1"/>
    </xf>
    <xf numFmtId="0" fontId="0" fillId="0" borderId="0" xfId="0"/>
    <xf numFmtId="0" fontId="5" fillId="10" borderId="0" xfId="0" applyFont="1" applyFill="1" applyBorder="1"/>
    <xf numFmtId="0" fontId="0" fillId="0" borderId="36" xfId="0" applyBorder="1"/>
    <xf numFmtId="0" fontId="1" fillId="0" borderId="36" xfId="0" applyFont="1" applyBorder="1"/>
    <xf numFmtId="164" fontId="0" fillId="0" borderId="36" xfId="0" applyNumberFormat="1" applyBorder="1"/>
    <xf numFmtId="0" fontId="0" fillId="0" borderId="0" xfId="0"/>
    <xf numFmtId="0" fontId="0" fillId="0" borderId="0" xfId="0" quotePrefix="1"/>
    <xf numFmtId="0" fontId="13" fillId="10" borderId="47" xfId="0" applyFont="1" applyFill="1" applyBorder="1"/>
    <xf numFmtId="0" fontId="13" fillId="10" borderId="48" xfId="0" applyFont="1" applyFill="1" applyBorder="1"/>
    <xf numFmtId="0" fontId="13" fillId="10" borderId="48" xfId="0" applyFont="1" applyFill="1" applyBorder="1" applyAlignment="1">
      <alignment horizontal="left"/>
    </xf>
    <xf numFmtId="0" fontId="0" fillId="0" borderId="36" xfId="0" applyBorder="1" applyAlignment="1">
      <alignment vertical="top" wrapText="1"/>
    </xf>
    <xf numFmtId="0" fontId="0" fillId="0" borderId="36" xfId="0" applyBorder="1" applyAlignment="1">
      <alignment horizontal="left" vertical="top" wrapText="1"/>
    </xf>
    <xf numFmtId="0" fontId="3" fillId="0" borderId="36" xfId="0" applyFont="1" applyBorder="1" applyAlignment="1">
      <alignment vertical="top"/>
    </xf>
    <xf numFmtId="0" fontId="0" fillId="0" borderId="36" xfId="0" applyBorder="1" applyAlignment="1">
      <alignment vertical="top"/>
    </xf>
    <xf numFmtId="0" fontId="0" fillId="0" borderId="36" xfId="0" applyBorder="1" applyAlignment="1">
      <alignment horizontal="left" vertical="top"/>
    </xf>
    <xf numFmtId="0" fontId="0" fillId="0" borderId="0" xfId="0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0" borderId="0" xfId="0"/>
    <xf numFmtId="0" fontId="0" fillId="3" borderId="0" xfId="0" applyFont="1" applyFill="1" applyBorder="1" applyAlignment="1">
      <alignment vertical="top"/>
    </xf>
    <xf numFmtId="0" fontId="2" fillId="6" borderId="16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2" fillId="6" borderId="18" xfId="0" applyFont="1" applyFill="1" applyBorder="1"/>
    <xf numFmtId="0" fontId="2" fillId="6" borderId="19" xfId="0" applyFont="1" applyFill="1" applyBorder="1"/>
    <xf numFmtId="0" fontId="10" fillId="8" borderId="28" xfId="0" applyFont="1" applyFill="1" applyBorder="1" applyAlignment="1">
      <alignment vertical="top"/>
    </xf>
    <xf numFmtId="0" fontId="10" fillId="8" borderId="29" xfId="0" applyFont="1" applyFill="1" applyBorder="1" applyAlignment="1">
      <alignment vertical="top"/>
    </xf>
    <xf numFmtId="0" fontId="10" fillId="8" borderId="23" xfId="0" applyFont="1" applyFill="1" applyBorder="1" applyAlignment="1">
      <alignment vertical="top"/>
    </xf>
    <xf numFmtId="0" fontId="10" fillId="8" borderId="27" xfId="0" applyFont="1" applyFill="1" applyBorder="1" applyAlignment="1">
      <alignment vertical="top"/>
    </xf>
    <xf numFmtId="0" fontId="9" fillId="8" borderId="23" xfId="0" applyFont="1" applyFill="1" applyBorder="1" applyAlignment="1">
      <alignment horizontal="center" vertical="top"/>
    </xf>
    <xf numFmtId="0" fontId="9" fillId="8" borderId="24" xfId="0" applyFont="1" applyFill="1" applyBorder="1" applyAlignment="1">
      <alignment horizontal="center" vertical="top"/>
    </xf>
    <xf numFmtId="0" fontId="9" fillId="8" borderId="25" xfId="0" applyFont="1" applyFill="1" applyBorder="1" applyAlignment="1">
      <alignment horizontal="center" vertical="top"/>
    </xf>
    <xf numFmtId="0" fontId="9" fillId="8" borderId="22" xfId="0" applyFont="1" applyFill="1" applyBorder="1" applyAlignment="1">
      <alignment vertical="top"/>
    </xf>
    <xf numFmtId="0" fontId="9" fillId="8" borderId="26" xfId="0" applyFont="1" applyFill="1" applyBorder="1" applyAlignment="1">
      <alignment vertical="top"/>
    </xf>
    <xf numFmtId="0" fontId="9" fillId="8" borderId="30" xfId="0" applyFont="1" applyFill="1" applyBorder="1" applyAlignment="1">
      <alignment horizontal="center" vertical="top"/>
    </xf>
    <xf numFmtId="0" fontId="9" fillId="8" borderId="0" xfId="0" applyFont="1" applyFill="1" applyBorder="1" applyAlignment="1">
      <alignment horizontal="center" vertical="top"/>
    </xf>
    <xf numFmtId="0" fontId="9" fillId="8" borderId="31" xfId="0" applyFont="1" applyFill="1" applyBorder="1" applyAlignment="1">
      <alignment horizontal="center" vertical="top"/>
    </xf>
    <xf numFmtId="0" fontId="11" fillId="0" borderId="33" xfId="0" applyFont="1" applyBorder="1" applyAlignment="1">
      <alignment vertical="top" wrapText="1"/>
    </xf>
    <xf numFmtId="0" fontId="11" fillId="0" borderId="32" xfId="0" applyFont="1" applyBorder="1" applyAlignment="1">
      <alignment vertical="top" wrapText="1"/>
    </xf>
    <xf numFmtId="0" fontId="10" fillId="8" borderId="0" xfId="0" applyFont="1" applyFill="1" applyBorder="1" applyAlignment="1">
      <alignment vertical="top" wrapText="1"/>
    </xf>
    <xf numFmtId="0" fontId="10" fillId="8" borderId="31" xfId="0" applyFont="1" applyFill="1" applyBorder="1" applyAlignment="1">
      <alignment vertical="top" wrapText="1"/>
    </xf>
    <xf numFmtId="49" fontId="11" fillId="0" borderId="33" xfId="0" applyNumberFormat="1" applyFont="1" applyBorder="1" applyAlignment="1">
      <alignment vertical="top"/>
    </xf>
    <xf numFmtId="49" fontId="11" fillId="0" borderId="34" xfId="0" applyNumberFormat="1" applyFont="1" applyBorder="1" applyAlignment="1">
      <alignment vertical="top"/>
    </xf>
    <xf numFmtId="49" fontId="11" fillId="0" borderId="32" xfId="0" applyNumberFormat="1" applyFont="1" applyBorder="1" applyAlignment="1">
      <alignment vertical="top"/>
    </xf>
    <xf numFmtId="0" fontId="10" fillId="8" borderId="30" xfId="0" applyFont="1" applyFill="1" applyBorder="1" applyAlignment="1">
      <alignment vertical="top"/>
    </xf>
    <xf numFmtId="0" fontId="10" fillId="8" borderId="31" xfId="0" applyFont="1" applyFill="1" applyBorder="1" applyAlignment="1">
      <alignment vertical="top"/>
    </xf>
    <xf numFmtId="0" fontId="12" fillId="11" borderId="37" xfId="0" applyFont="1" applyFill="1" applyBorder="1" applyAlignment="1">
      <alignment horizontal="center"/>
    </xf>
    <xf numFmtId="0" fontId="12" fillId="11" borderId="38" xfId="0" applyFont="1" applyFill="1" applyBorder="1" applyAlignment="1">
      <alignment horizontal="center"/>
    </xf>
    <xf numFmtId="0" fontId="12" fillId="11" borderId="39" xfId="0" applyFont="1" applyFill="1" applyBorder="1" applyAlignment="1">
      <alignment horizontal="center"/>
    </xf>
    <xf numFmtId="0" fontId="9" fillId="10" borderId="22" xfId="0" applyFont="1" applyFill="1" applyBorder="1"/>
    <xf numFmtId="0" fontId="9" fillId="10" borderId="40" xfId="0" applyFont="1" applyFill="1" applyBorder="1"/>
    <xf numFmtId="0" fontId="9" fillId="10" borderId="23" xfId="0" applyFont="1" applyFill="1" applyBorder="1" applyAlignment="1">
      <alignment horizontal="center"/>
    </xf>
    <xf numFmtId="0" fontId="9" fillId="10" borderId="24" xfId="0" applyFont="1" applyFill="1" applyBorder="1" applyAlignment="1">
      <alignment horizontal="center"/>
    </xf>
    <xf numFmtId="0" fontId="9" fillId="10" borderId="25" xfId="0" applyFont="1" applyFill="1" applyBorder="1" applyAlignment="1">
      <alignment horizontal="center"/>
    </xf>
    <xf numFmtId="0" fontId="14" fillId="12" borderId="49" xfId="0" applyFont="1" applyFill="1" applyBorder="1" applyAlignment="1">
      <alignment vertical="top"/>
    </xf>
    <xf numFmtId="0" fontId="15" fillId="0" borderId="50" xfId="0" applyFont="1" applyBorder="1" applyAlignment="1">
      <alignment vertical="top"/>
    </xf>
    <xf numFmtId="0" fontId="0" fillId="0" borderId="50" xfId="0" applyBorder="1" applyAlignment="1">
      <alignment vertical="top"/>
    </xf>
    <xf numFmtId="164" fontId="0" fillId="0" borderId="50" xfId="0" applyNumberFormat="1" applyBorder="1" applyAlignment="1">
      <alignment vertical="top"/>
    </xf>
    <xf numFmtId="3" fontId="0" fillId="0" borderId="50" xfId="0" applyNumberFormat="1" applyBorder="1" applyAlignment="1">
      <alignment vertical="top"/>
    </xf>
    <xf numFmtId="49" fontId="0" fillId="0" borderId="50" xfId="0" applyNumberFormat="1" applyBorder="1" applyAlignment="1">
      <alignment vertical="top" wrapText="1"/>
    </xf>
  </cellXfs>
  <cellStyles count="2">
    <cellStyle name="Hyperlink" xfId="1" builtinId="8"/>
    <cellStyle name="Normal" xfId="0" builtinId="0"/>
  </cellStyles>
  <dxfs count="39">
    <dxf>
      <font>
        <b/>
        <i val="0"/>
        <color theme="5" tint="0.79998168889431442"/>
      </font>
      <fill>
        <patternFill>
          <bgColor theme="5" tint="-0.499984740745262"/>
        </patternFill>
      </fill>
      <border>
        <left style="thin">
          <color theme="5" tint="0.79998168889431442"/>
        </left>
        <right style="thin">
          <color theme="5" tint="0.79998168889431442"/>
        </right>
        <top style="thin">
          <color theme="5" tint="0.79998168889431442"/>
        </top>
        <bottom style="thin">
          <color theme="5" tint="0.79998168889431442"/>
        </bottom>
        <vertical/>
        <horizontal/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theme="5" tint="0.79998168889431442"/>
      </font>
      <fill>
        <patternFill>
          <bgColor theme="5" tint="-0.499984740745262"/>
        </patternFill>
      </fill>
      <border>
        <left style="thin">
          <color theme="5" tint="0.79998168889431442"/>
        </left>
        <right style="thin">
          <color theme="5" tint="0.79998168889431442"/>
        </right>
        <top style="thin">
          <color theme="5" tint="0.79998168889431442"/>
        </top>
        <bottom style="thin">
          <color theme="5" tint="0.79998168889431442"/>
        </bottom>
        <vertical/>
        <horizontal/>
      </border>
    </dxf>
    <dxf>
      <font>
        <b/>
        <i val="0"/>
        <color theme="5" tint="0.79998168889431442"/>
      </font>
      <fill>
        <patternFill>
          <bgColor theme="5" tint="-0.499984740745262"/>
        </patternFill>
      </fill>
      <border>
        <left style="thin">
          <color theme="5" tint="0.79998168889431442"/>
        </left>
        <right style="thin">
          <color theme="5" tint="0.79998168889431442"/>
        </right>
        <top style="thin">
          <color theme="5" tint="0.79998168889431442"/>
        </top>
        <bottom style="thin">
          <color theme="5" tint="0.79998168889431442"/>
        </bottom>
        <vertical/>
        <horizontal/>
      </border>
    </dxf>
    <dxf>
      <font>
        <b/>
        <i val="0"/>
        <color rgb="FFFFFF00"/>
      </font>
      <fill>
        <patternFill>
          <bgColor rgb="FF002060"/>
        </patternFill>
      </fill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  <vertical/>
        <horizontal/>
      </border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CC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CC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CC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CC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CC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CC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CC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in/Excel_AddIns/P6CXLSLib3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tringTests True-False Samples"/>
      <sheetName val="Other Samples"/>
      <sheetName val="VER_STRING_NAME_P6C"/>
    </sheetNames>
    <definedNames>
      <definedName name="AddBackslash"/>
      <definedName name="DigestFileMD5"/>
      <definedName name="dtmFileDateInfo"/>
      <definedName name="FileExists"/>
      <definedName name="GetExtension"/>
      <definedName name="GetFile"/>
      <definedName name="GetFolder"/>
      <definedName name="GetLeafDirectoryName"/>
      <definedName name="lngFileSize"/>
    </definedNames>
    <sheetDataSet>
      <sheetData sheetId="0"/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name="MergeNewItemsIntoArray_Summary_20130105_165106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19"/>
  <sheetViews>
    <sheetView workbookViewId="0">
      <selection activeCell="A19" sqref="A19"/>
    </sheetView>
  </sheetViews>
  <sheetFormatPr defaultRowHeight="15" x14ac:dyDescent="0.25"/>
  <cols>
    <col min="1" max="1" width="32.5" bestFit="1" customWidth="1"/>
  </cols>
  <sheetData>
    <row r="1" spans="1:1" x14ac:dyDescent="0.25">
      <c r="A1" s="90" t="s">
        <v>152</v>
      </c>
    </row>
    <row r="2" spans="1:1" x14ac:dyDescent="0.25">
      <c r="A2" s="90" t="s">
        <v>395</v>
      </c>
    </row>
    <row r="3" spans="1:1" x14ac:dyDescent="0.25">
      <c r="A3" s="90" t="s">
        <v>408</v>
      </c>
    </row>
    <row r="4" spans="1:1" x14ac:dyDescent="0.25">
      <c r="A4" s="90" t="s">
        <v>416</v>
      </c>
    </row>
    <row r="5" spans="1:1" x14ac:dyDescent="0.25">
      <c r="A5" s="90" t="s">
        <v>148</v>
      </c>
    </row>
    <row r="6" spans="1:1" x14ac:dyDescent="0.25">
      <c r="A6" s="90" t="s">
        <v>443</v>
      </c>
    </row>
    <row r="7" spans="1:1" x14ac:dyDescent="0.25">
      <c r="A7" s="90" t="s">
        <v>396</v>
      </c>
    </row>
    <row r="8" spans="1:1" x14ac:dyDescent="0.25">
      <c r="A8" s="90" t="s">
        <v>398</v>
      </c>
    </row>
    <row r="9" spans="1:1" x14ac:dyDescent="0.25">
      <c r="A9" s="90" t="s">
        <v>417</v>
      </c>
    </row>
    <row r="10" spans="1:1" x14ac:dyDescent="0.25">
      <c r="A10" s="90" t="s">
        <v>151</v>
      </c>
    </row>
    <row r="11" spans="1:1" x14ac:dyDescent="0.25">
      <c r="A11" s="90" t="s">
        <v>187</v>
      </c>
    </row>
    <row r="12" spans="1:1" x14ac:dyDescent="0.25">
      <c r="A12" s="90" t="s">
        <v>149</v>
      </c>
    </row>
    <row r="13" spans="1:1" x14ac:dyDescent="0.25">
      <c r="A13" s="90" t="s">
        <v>150</v>
      </c>
    </row>
    <row r="14" spans="1:1" x14ac:dyDescent="0.25">
      <c r="A14" s="90" t="s">
        <v>153</v>
      </c>
    </row>
    <row r="15" spans="1:1" x14ac:dyDescent="0.25">
      <c r="A15" s="90" t="s">
        <v>154</v>
      </c>
    </row>
    <row r="16" spans="1:1" x14ac:dyDescent="0.25">
      <c r="A16" s="90" t="s">
        <v>480</v>
      </c>
    </row>
    <row r="17" spans="1:1" x14ac:dyDescent="0.25">
      <c r="A17" s="90" t="s">
        <v>397</v>
      </c>
    </row>
    <row r="18" spans="1:1" x14ac:dyDescent="0.25">
      <c r="A18" s="90" t="s">
        <v>481</v>
      </c>
    </row>
    <row r="19" spans="1:1" x14ac:dyDescent="0.25">
      <c r="A19" s="90" t="s">
        <v>188</v>
      </c>
    </row>
  </sheetData>
  <sortState caseSensitive="1" ref="A1:A19">
    <sortCondition ref="A1"/>
  </sortState>
  <hyperlinks>
    <hyperlink ref="A11" location="'MD5 Digest Cases'!$A$1" display="MD5 Digest Cases"/>
    <hyperlink ref="A5" location="'DE Doc'TR Listing Splitter'!$A$1" display="DE Doc'TR Listing Splitter"/>
    <hyperlink ref="A12" location="MergeNewItemsIntoArray!$A$1" display="MergeNewItemsIntoArray"/>
    <hyperlink ref="A13" location="MergeNewItemsIntoArray_IMPORT!$A$1" display="MergeNewItemsIntoArray_IMPORT"/>
    <hyperlink ref="A10" location="Master!$A$1" display="Master"/>
    <hyperlink ref="A1" location="Additions!$A$1" display="Additions"/>
    <hyperlink ref="A14" location="MergeNewItemsIntoArray_Report_1!$A$1" display="MergeNewItemsIntoArray_Report_1"/>
    <hyperlink ref="A15" location="MergeNewItemsIntoArray_Report_2!$A$1" display="MergeNewItemsIntoArray_Report_2"/>
    <hyperlink ref="A19" location="TestSelections!$A$1" display="TestSelections"/>
    <hyperlink ref="A2" location="'AdjustToMaximumWidth Cases'!$A$1" display="AdjustToMaximumWidth Cases"/>
    <hyperlink ref="A7" location="'FormatStringParser State Table'!$A$1" display="FormatStringParser State Table"/>
    <hyperlink ref="A17" location="'Populated FormatStringParser'!$A$1" display="Populated FormatStringParser"/>
    <hyperlink ref="A8" location="'GetPaddedLabel XREF'!$A$1" display="GetPaddedLabel XREF"/>
    <hyperlink ref="A3" location="'ComputeWidthofWidestLabel XREF'!$A$1" display="ComputeWidthofWidestLabel XREF"/>
    <hyperlink ref="A4" location="'ComputeWidthOfWidestValue XREF'!$A$1" display="ComputeWidthOfWidestValue XREF"/>
    <hyperlink ref="A9" location="'GetPaddedValue XREF'!$A$1" display="GetPaddedValue XREF"/>
    <hyperlink ref="A6" location="'FormatDetail XREF'!$A$1" display="FormatDetail XREF"/>
    <hyperlink ref="A16" location="'Plural XREF'!$A$1" display="Plural XREF"/>
    <hyperlink ref="A18" location="'Relocated String Reources'!$A$1" display="Relocated String Reourc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G9"/>
  <sheetViews>
    <sheetView workbookViewId="0">
      <selection activeCell="A4" sqref="A4"/>
    </sheetView>
  </sheetViews>
  <sheetFormatPr defaultRowHeight="15" x14ac:dyDescent="0.25"/>
  <cols>
    <col min="1" max="1" width="38.75" bestFit="1" customWidth="1"/>
    <col min="2" max="2" width="20.125" bestFit="1" customWidth="1"/>
    <col min="4" max="4" width="9" style="50"/>
    <col min="5" max="5" width="33.625" bestFit="1" customWidth="1"/>
    <col min="6" max="6" width="149.125" bestFit="1" customWidth="1"/>
    <col min="7" max="7" width="33.625" bestFit="1" customWidth="1"/>
  </cols>
  <sheetData>
    <row r="1" spans="1:7" ht="15.75" x14ac:dyDescent="0.25">
      <c r="A1" s="65" t="s">
        <v>156</v>
      </c>
      <c r="B1" s="139" t="s">
        <v>79</v>
      </c>
      <c r="C1" s="140"/>
      <c r="D1" s="140"/>
      <c r="E1" s="140"/>
      <c r="F1" s="140"/>
      <c r="G1" s="141"/>
    </row>
    <row r="2" spans="1:7" s="50" customFormat="1" ht="15.75" x14ac:dyDescent="0.25">
      <c r="A2" s="66" t="s">
        <v>161</v>
      </c>
      <c r="B2" s="69">
        <v>8192</v>
      </c>
    </row>
    <row r="4" spans="1:7" ht="15.75" x14ac:dyDescent="0.25">
      <c r="A4" s="65" t="s">
        <v>157</v>
      </c>
      <c r="B4" s="65" t="s">
        <v>83</v>
      </c>
      <c r="C4" s="66" t="s">
        <v>82</v>
      </c>
      <c r="D4" s="66" t="s">
        <v>160</v>
      </c>
      <c r="E4" s="65" t="s">
        <v>164</v>
      </c>
      <c r="F4" s="65" t="s">
        <v>100</v>
      </c>
      <c r="G4" s="65" t="s">
        <v>159</v>
      </c>
    </row>
    <row r="5" spans="1:7" x14ac:dyDescent="0.25">
      <c r="A5" s="67" t="s">
        <v>158</v>
      </c>
      <c r="B5" s="68">
        <f>IF(LEN(A5)&gt;0,[1]!dtmFileDateInfo(CONCATENATE([1]!AddBackslash(Test_Data_Repository),A5)),"")</f>
        <v>41687.109629629631</v>
      </c>
      <c r="C5" s="69">
        <f>IF(LEN(A5)&gt;0,[1]!lngFileSize(CONCATENATE([1]!AddBackslash(Test_Data_Repository),A5)),"")</f>
        <v>8192</v>
      </c>
      <c r="D5" s="70">
        <f>IF(LEN(A5)&gt;0,+C5/Block_Size,"")</f>
        <v>1</v>
      </c>
      <c r="E5" s="71" t="str">
        <f>IF(LEN(A5)&gt;0,IF([1]!FileExists(CONCATENATE([1]!AddBackslash(Test_Data_Repository),A5)),[1]!DigestFileMD5(CONCATENATE([1]!AddBackslash(Test_Data_Repository),A5)),"No File = No Digest"),"")</f>
        <v>db4a7159ee560ee774c5fbb7cc07ae7d</v>
      </c>
      <c r="F5" s="71" t="str">
        <f>IF(LEN(A5)&gt;0,CONCATENATE([1]!AddBackslash(Test_Data_Repository),A5),"")</f>
        <v>C:\Documents and Settings\DAG\My Documents\Visual Studio 2010\Projects\WizardWrx_Libs\SharedUtl4\Test_Data\Plaintext_File_1_Block.TXT</v>
      </c>
      <c r="G5" s="71" t="str">
        <f>E5</f>
        <v>db4a7159ee560ee774c5fbb7cc07ae7d</v>
      </c>
    </row>
    <row r="6" spans="1:7" x14ac:dyDescent="0.25">
      <c r="A6" s="72" t="s">
        <v>163</v>
      </c>
      <c r="B6" s="73">
        <f>IF(LEN(A6)&gt;0,[1]!dtmFileDateInfo(CONCATENATE([1]!AddBackslash(Test_Data_Repository),A6)),"")</f>
        <v>41688.099479166667</v>
      </c>
      <c r="C6" s="74">
        <f>IF(LEN(A6)&gt;0,[1]!lngFileSize(CONCATENATE([1]!AddBackslash(Test_Data_Repository),A6)),"")</f>
        <v>8114</v>
      </c>
      <c r="D6" s="75">
        <f>IF(LEN(A6)&gt;0,+C6/Block_Size,"")</f>
        <v>0.990478515625</v>
      </c>
      <c r="E6" s="72" t="str">
        <f>IF(LEN(A6)&gt;0,IF([1]!FileExists(CONCATENATE([1]!AddBackslash(Test_Data_Repository),A6)),[1]!DigestFileMD5(CONCATENATE([1]!AddBackslash(Test_Data_Repository),A6)),"No File = No Digest"),"")</f>
        <v>babdd89bad8cf15d7f0a385df6f9322c</v>
      </c>
      <c r="F6" s="72" t="str">
        <f>IF(LEN(A6)&gt;0,CONCATENATE([1]!AddBackslash(Test_Data_Repository),A6),"")</f>
        <v>C:\Documents and Settings\DAG\My Documents\Visual Studio 2010\Projects\WizardWrx_Libs\SharedUtl4\Test_Data\Plaintext_File_2_Fractional_Block.TXT</v>
      </c>
      <c r="G6" s="72" t="str">
        <f t="shared" ref="G6:G7" si="0">E6</f>
        <v>babdd89bad8cf15d7f0a385df6f9322c</v>
      </c>
    </row>
    <row r="7" spans="1:7" x14ac:dyDescent="0.25">
      <c r="A7" s="76" t="s">
        <v>162</v>
      </c>
      <c r="B7" s="77">
        <f>IF(LEN(A7)&gt;0,[1]!dtmFileDateInfo(CONCATENATE([1]!AddBackslash(Test_Data_Repository),A7)),"")</f>
        <v>41688.123055555552</v>
      </c>
      <c r="C7" s="78">
        <f>IF(LEN(A7)&gt;0,[1]!lngFileSize(CONCATENATE([1]!AddBackslash(Test_Data_Repository),A7)),"")</f>
        <v>11962</v>
      </c>
      <c r="D7" s="79">
        <f>IF(LEN(A7)&gt;0,+C7/Block_Size,"")</f>
        <v>1.460205078125</v>
      </c>
      <c r="E7" s="76" t="str">
        <f>IF(LEN(A7)&gt;0,IF([1]!FileExists(CONCATENATE([1]!AddBackslash(Test_Data_Repository),A7)),[1]!DigestFileMD5(CONCATENATE([1]!AddBackslash(Test_Data_Repository),A7)),"No File = No Digest"),"")</f>
        <v>d6ab7fbb4e2b89023283ff31b944fa82</v>
      </c>
      <c r="F7" s="76" t="str">
        <f>IF(LEN(A7)&gt;0,CONCATENATE([1]!AddBackslash(Test_Data_Repository),A7),"")</f>
        <v>C:\Documents and Settings\DAG\My Documents\Visual Studio 2010\Projects\WizardWrx_Libs\SharedUtl4\Test_Data\Plaintext_File_3_1_Plus_Blocks.TXT</v>
      </c>
      <c r="G7" s="76" t="str">
        <f t="shared" si="0"/>
        <v>d6ab7fbb4e2b89023283ff31b944fa82</v>
      </c>
    </row>
    <row r="8" spans="1:7" x14ac:dyDescent="0.25">
      <c r="A8" s="72" t="s">
        <v>165</v>
      </c>
      <c r="B8" s="73">
        <f>IF(LEN(A8)&gt;0,[1]!dtmFileDateInfo(CONCATENATE([1]!AddBackslash(Test_Data_Repository),A8)),"")</f>
        <v>41688.132013888891</v>
      </c>
      <c r="C8" s="74">
        <f>IF(LEN(A8)&gt;0,[1]!lngFileSize(CONCATENATE([1]!AddBackslash(Test_Data_Repository),A8)),"")</f>
        <v>37804</v>
      </c>
      <c r="D8" s="75">
        <f>IF(LEN(A8)&gt;0,+C8/Block_Size,"")</f>
        <v>4.61474609375</v>
      </c>
      <c r="E8" s="72" t="str">
        <f>IF(LEN(A8)&gt;0,IF([1]!FileExists(CONCATENATE([1]!AddBackslash(Test_Data_Repository),A8)),[1]!DigestFileMD5(CONCATENATE([1]!AddBackslash(Test_Data_Repository),A8)),"No File = No Digest"),"")</f>
        <v>4c1da67c0aa7b45c00bd3788d0d1a7a7</v>
      </c>
      <c r="F8" s="72" t="str">
        <f>IF(LEN(A8)&gt;0,CONCATENATE([1]!AddBackslash(Test_Data_Repository),A8),"")</f>
        <v>C:\Documents and Settings\DAG\My Documents\Visual Studio 2010\Projects\WizardWrx_Libs\SharedUtl4\Test_Data\Plaintext_File_4_4_Plus_Blocks.TXT</v>
      </c>
      <c r="G8" s="72" t="str">
        <f t="shared" ref="G8:G9" si="1">E8</f>
        <v>4c1da67c0aa7b45c00bd3788d0d1a7a7</v>
      </c>
    </row>
    <row r="9" spans="1:7" x14ac:dyDescent="0.25">
      <c r="A9" s="76" t="s">
        <v>166</v>
      </c>
      <c r="B9" s="77">
        <f>IF(LEN(A9)&gt;0,[1]!dtmFileDateInfo(CONCATENATE([1]!AddBackslash(Test_Data_Repository),A9)),"")</f>
        <v>41688.142372685186</v>
      </c>
      <c r="C9" s="78">
        <f>IF(LEN(A9)&gt;0,[1]!lngFileSize(CONCATENATE([1]!AddBackslash(Test_Data_Repository),A9)),"")</f>
        <v>65536</v>
      </c>
      <c r="D9" s="79">
        <f>IF(LEN(A9)&gt;0,+C9/Block_Size,"")</f>
        <v>8</v>
      </c>
      <c r="E9" s="76" t="str">
        <f>IF(LEN(A9)&gt;0,IF([1]!FileExists(CONCATENATE([1]!AddBackslash(Test_Data_Repository),A9)),[1]!DigestFileMD5(CONCATENATE([1]!AddBackslash(Test_Data_Repository),A9)),"No File = No Digest"),"")</f>
        <v>28d47106cb3a9ddcf81500299fb74e24</v>
      </c>
      <c r="F9" s="76" t="str">
        <f>IF(LEN(A9)&gt;0,CONCATENATE([1]!AddBackslash(Test_Data_Repository),A9),"")</f>
        <v>C:\Documents and Settings\DAG\My Documents\Visual Studio 2010\Projects\WizardWrx_Libs\SharedUtl4\Test_Data\Plaintext_File_4_Exactly_8_Blocks.TXT</v>
      </c>
      <c r="G9" s="76" t="str">
        <f t="shared" si="1"/>
        <v>28d47106cb3a9ddcf81500299fb74e24</v>
      </c>
    </row>
  </sheetData>
  <mergeCells count="1">
    <mergeCell ref="B1:G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I18"/>
  <sheetViews>
    <sheetView workbookViewId="0">
      <pane xSplit="2" ySplit="7" topLeftCell="I8" activePane="bottomRight" state="frozen"/>
      <selection pane="topRight" activeCell="C1" sqref="C1"/>
      <selection pane="bottomLeft" activeCell="A2" sqref="A2"/>
      <selection pane="bottomRight" activeCell="B14" sqref="B14"/>
    </sheetView>
  </sheetViews>
  <sheetFormatPr defaultRowHeight="15" x14ac:dyDescent="0.25"/>
  <cols>
    <col min="1" max="1" width="6.75" bestFit="1" customWidth="1"/>
    <col min="2" max="2" width="35.625" bestFit="1" customWidth="1"/>
    <col min="3" max="3" width="8.75" bestFit="1" customWidth="1"/>
    <col min="4" max="4" width="42.875" bestFit="1" customWidth="1"/>
    <col min="5" max="5" width="20.75" bestFit="1" customWidth="1"/>
    <col min="6" max="6" width="24.25" bestFit="1" customWidth="1"/>
    <col min="7" max="7" width="22.25" bestFit="1" customWidth="1"/>
    <col min="8" max="8" width="198.625" bestFit="1" customWidth="1"/>
    <col min="9" max="9" width="143.875" bestFit="1" customWidth="1"/>
  </cols>
  <sheetData>
    <row r="1" spans="1:9" s="142" customFormat="1" x14ac:dyDescent="0.25">
      <c r="A1"/>
      <c r="B1" s="1" t="s">
        <v>0</v>
      </c>
      <c r="C1" s="142" t="s">
        <v>1</v>
      </c>
    </row>
    <row r="2" spans="1:9" s="142" customFormat="1" x14ac:dyDescent="0.25">
      <c r="A2"/>
      <c r="B2" s="1" t="s">
        <v>2</v>
      </c>
      <c r="C2" s="142" t="s">
        <v>3</v>
      </c>
    </row>
    <row r="3" spans="1:9" s="142" customFormat="1" x14ac:dyDescent="0.25">
      <c r="A3"/>
      <c r="B3" s="1" t="s">
        <v>4</v>
      </c>
      <c r="C3" s="142" t="s">
        <v>5</v>
      </c>
    </row>
    <row r="4" spans="1:9" s="142" customFormat="1" x14ac:dyDescent="0.25">
      <c r="A4"/>
      <c r="B4" s="1" t="s">
        <v>6</v>
      </c>
      <c r="C4" s="142" t="s">
        <v>7</v>
      </c>
    </row>
    <row r="5" spans="1:9" s="142" customFormat="1" x14ac:dyDescent="0.25">
      <c r="A5"/>
      <c r="B5" s="1" t="s">
        <v>8</v>
      </c>
      <c r="C5" s="142" t="s">
        <v>9</v>
      </c>
    </row>
    <row r="7" spans="1:9" ht="18" x14ac:dyDescent="0.25">
      <c r="A7" s="2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17</v>
      </c>
      <c r="I7" s="4" t="s">
        <v>18</v>
      </c>
    </row>
    <row r="8" spans="1:9" x14ac:dyDescent="0.25">
      <c r="A8" s="30">
        <v>1</v>
      </c>
      <c r="B8" s="6" t="s">
        <v>19</v>
      </c>
      <c r="C8" s="7" t="s">
        <v>20</v>
      </c>
      <c r="D8" s="6" t="s">
        <v>21</v>
      </c>
      <c r="E8" s="7" t="str">
        <f t="shared" ref="E8:E18" si="0">CONCATENATE("DEDOCTR_Case_",A8,".TXT")</f>
        <v>DEDOCTR_Case_1.TXT</v>
      </c>
      <c r="F8" s="8" t="s">
        <v>22</v>
      </c>
      <c r="G8" s="8" t="str">
        <f t="shared" ref="G8:G18" si="1">CONCATENATE("Test_Data_Case_",A8,".ZIPX")</f>
        <v>Test_Data_Case_1.ZIPX</v>
      </c>
      <c r="H8" s="8" t="str">
        <f>CONCATENATE("copy ",DE_Doc_TR_Input_File," ",CHAR(34),[1]!AddBackslash(Input_Files),E8,CHAR(34))</f>
        <v>copy C:\TEMPDATA\Report_Output\DEDOCTR.TXT "C:\Documents and Settings\DAG\My Documents\Visual Studio 2010\Projects\NOLANB\DEDocTR_Listing_Splitter\NOTES\Test_Data\DEDOCTR_Case_1.TXT"</v>
      </c>
      <c r="I8" s="9" t="str">
        <f>CONCATENATE([1]!AddBackslash(Backup),G8)</f>
        <v>C:\Documents and Settings\DAG\My Documents\Visual Studio 2010\Projects\NOLANB\DEDocTR_Listing_Splitter\NOTES\_archive\Test_Data_Case_1.ZIPX</v>
      </c>
    </row>
    <row r="9" spans="1:9" x14ac:dyDescent="0.25">
      <c r="A9" s="31">
        <f t="shared" ref="A9:A18" si="2">+A8+1</f>
        <v>2</v>
      </c>
      <c r="B9" s="11" t="s">
        <v>23</v>
      </c>
      <c r="C9" s="12" t="s">
        <v>20</v>
      </c>
      <c r="D9" s="11" t="s">
        <v>24</v>
      </c>
      <c r="E9" s="12" t="str">
        <f t="shared" si="0"/>
        <v>DEDOCTR_Case_2.TXT</v>
      </c>
      <c r="F9" s="13" t="str">
        <f t="shared" ref="F9:F18" si="3">+G8</f>
        <v>Test_Data_Case_1.ZIPX</v>
      </c>
      <c r="G9" s="13" t="str">
        <f t="shared" si="1"/>
        <v>Test_Data_Case_2.ZIPX</v>
      </c>
      <c r="H9" s="13" t="str">
        <f>CONCATENATE("copy ",DE_Doc_TR_Input_File," ",CHAR(34),[1]!AddBackslash(Input_Files),E9,CHAR(34))</f>
        <v>copy C:\TEMPDATA\Report_Output\DEDOCTR.TXT "C:\Documents and Settings\DAG\My Documents\Visual Studio 2010\Projects\NOLANB\DEDocTR_Listing_Splitter\NOTES\Test_Data\DEDOCTR_Case_2.TXT"</v>
      </c>
      <c r="I9" s="14" t="str">
        <f>CONCATENATE([1]!AddBackslash(Backup),G9)</f>
        <v>C:\Documents and Settings\DAG\My Documents\Visual Studio 2010\Projects\NOLANB\DEDocTR_Listing_Splitter\NOTES\_archive\Test_Data_Case_2.ZIPX</v>
      </c>
    </row>
    <row r="10" spans="1:9" x14ac:dyDescent="0.25">
      <c r="A10" s="30">
        <f t="shared" si="2"/>
        <v>3</v>
      </c>
      <c r="B10" s="6" t="s">
        <v>25</v>
      </c>
      <c r="C10" s="7" t="s">
        <v>20</v>
      </c>
      <c r="D10" s="6" t="s">
        <v>26</v>
      </c>
      <c r="E10" s="7" t="str">
        <f t="shared" si="0"/>
        <v>DEDOCTR_Case_3.TXT</v>
      </c>
      <c r="F10" s="8" t="str">
        <f t="shared" si="3"/>
        <v>Test_Data_Case_2.ZIPX</v>
      </c>
      <c r="G10" s="8" t="str">
        <f t="shared" si="1"/>
        <v>Test_Data_Case_3.ZIPX</v>
      </c>
      <c r="H10" s="8" t="str">
        <f>CONCATENATE("copy ",DE_Doc_TR_Input_File," ",CHAR(34),[1]!AddBackslash(Input_Files),E10,CHAR(34))</f>
        <v>copy C:\TEMPDATA\Report_Output\DEDOCTR.TXT "C:\Documents and Settings\DAG\My Documents\Visual Studio 2010\Projects\NOLANB\DEDocTR_Listing_Splitter\NOTES\Test_Data\DEDOCTR_Case_3.TXT"</v>
      </c>
      <c r="I10" s="9" t="str">
        <f>CONCATENATE([1]!AddBackslash(Backup),G10)</f>
        <v>C:\Documents and Settings\DAG\My Documents\Visual Studio 2010\Projects\NOLANB\DEDocTR_Listing_Splitter\NOTES\_archive\Test_Data_Case_3.ZIPX</v>
      </c>
    </row>
    <row r="11" spans="1:9" x14ac:dyDescent="0.25">
      <c r="A11" s="31">
        <f t="shared" si="2"/>
        <v>4</v>
      </c>
      <c r="B11" s="11" t="s">
        <v>27</v>
      </c>
      <c r="C11" s="12" t="s">
        <v>20</v>
      </c>
      <c r="D11" s="11" t="s">
        <v>28</v>
      </c>
      <c r="E11" s="12" t="str">
        <f t="shared" si="0"/>
        <v>DEDOCTR_Case_4.TXT</v>
      </c>
      <c r="F11" s="13" t="str">
        <f t="shared" si="3"/>
        <v>Test_Data_Case_3.ZIPX</v>
      </c>
      <c r="G11" s="13" t="str">
        <f t="shared" si="1"/>
        <v>Test_Data_Case_4.ZIPX</v>
      </c>
      <c r="H11" s="13" t="str">
        <f>CONCATENATE("copy ",DE_Doc_TR_Input_File," ",CHAR(34),[1]!AddBackslash(Input_Files),E11,CHAR(34))</f>
        <v>copy C:\TEMPDATA\Report_Output\DEDOCTR.TXT "C:\Documents and Settings\DAG\My Documents\Visual Studio 2010\Projects\NOLANB\DEDocTR_Listing_Splitter\NOTES\Test_Data\DEDOCTR_Case_4.TXT"</v>
      </c>
      <c r="I11" s="14" t="str">
        <f>CONCATENATE([1]!AddBackslash(Backup),G11)</f>
        <v>C:\Documents and Settings\DAG\My Documents\Visual Studio 2010\Projects\NOLANB\DEDocTR_Listing_Splitter\NOTES\_archive\Test_Data_Case_4.ZIPX</v>
      </c>
    </row>
    <row r="12" spans="1:9" x14ac:dyDescent="0.25">
      <c r="A12" s="30">
        <f t="shared" si="2"/>
        <v>5</v>
      </c>
      <c r="B12" s="6" t="s">
        <v>29</v>
      </c>
      <c r="C12" s="7" t="s">
        <v>20</v>
      </c>
      <c r="D12" s="6" t="s">
        <v>30</v>
      </c>
      <c r="E12" s="7" t="str">
        <f t="shared" si="0"/>
        <v>DEDOCTR_Case_5.TXT</v>
      </c>
      <c r="F12" s="8" t="str">
        <f t="shared" si="3"/>
        <v>Test_Data_Case_4.ZIPX</v>
      </c>
      <c r="G12" s="8" t="str">
        <f t="shared" si="1"/>
        <v>Test_Data_Case_5.ZIPX</v>
      </c>
      <c r="H12" s="8" t="str">
        <f>CONCATENATE("copy ",DE_Doc_TR_Input_File," ",CHAR(34),[1]!AddBackslash(Input_Files),E12,CHAR(34))</f>
        <v>copy C:\TEMPDATA\Report_Output\DEDOCTR.TXT "C:\Documents and Settings\DAG\My Documents\Visual Studio 2010\Projects\NOLANB\DEDocTR_Listing_Splitter\NOTES\Test_Data\DEDOCTR_Case_5.TXT"</v>
      </c>
      <c r="I12" s="9" t="str">
        <f>CONCATENATE([1]!AddBackslash(Backup),G12)</f>
        <v>C:\Documents and Settings\DAG\My Documents\Visual Studio 2010\Projects\NOLANB\DEDocTR_Listing_Splitter\NOTES\_archive\Test_Data_Case_5.ZIPX</v>
      </c>
    </row>
    <row r="13" spans="1:9" x14ac:dyDescent="0.25">
      <c r="A13" s="31">
        <f t="shared" si="2"/>
        <v>6</v>
      </c>
      <c r="B13" s="11" t="s">
        <v>31</v>
      </c>
      <c r="C13" s="12" t="s">
        <v>20</v>
      </c>
      <c r="D13" s="11" t="s">
        <v>32</v>
      </c>
      <c r="E13" s="12" t="str">
        <f t="shared" si="0"/>
        <v>DEDOCTR_Case_6.TXT</v>
      </c>
      <c r="F13" s="13" t="str">
        <f t="shared" si="3"/>
        <v>Test_Data_Case_5.ZIPX</v>
      </c>
      <c r="G13" s="13" t="str">
        <f t="shared" si="1"/>
        <v>Test_Data_Case_6.ZIPX</v>
      </c>
      <c r="H13" s="13" t="str">
        <f>CONCATENATE("copy ",DE_Doc_TR_Input_File," ",CHAR(34),[1]!AddBackslash(Input_Files),E13,CHAR(34))</f>
        <v>copy C:\TEMPDATA\Report_Output\DEDOCTR.TXT "C:\Documents and Settings\DAG\My Documents\Visual Studio 2010\Projects\NOLANB\DEDocTR_Listing_Splitter\NOTES\Test_Data\DEDOCTR_Case_6.TXT"</v>
      </c>
      <c r="I13" s="14" t="str">
        <f>CONCATENATE([1]!AddBackslash(Backup),G13)</f>
        <v>C:\Documents and Settings\DAG\My Documents\Visual Studio 2010\Projects\NOLANB\DEDocTR_Listing_Splitter\NOTES\_archive\Test_Data_Case_6.ZIPX</v>
      </c>
    </row>
    <row r="14" spans="1:9" x14ac:dyDescent="0.25">
      <c r="A14" s="30">
        <f t="shared" si="2"/>
        <v>7</v>
      </c>
      <c r="B14" s="6" t="s">
        <v>33</v>
      </c>
      <c r="C14" s="7" t="s">
        <v>20</v>
      </c>
      <c r="D14" s="6" t="s">
        <v>34</v>
      </c>
      <c r="E14" s="7" t="str">
        <f t="shared" si="0"/>
        <v>DEDOCTR_Case_7.TXT</v>
      </c>
      <c r="F14" s="8" t="str">
        <f t="shared" si="3"/>
        <v>Test_Data_Case_6.ZIPX</v>
      </c>
      <c r="G14" s="8" t="str">
        <f t="shared" si="1"/>
        <v>Test_Data_Case_7.ZIPX</v>
      </c>
      <c r="H14" s="8" t="str">
        <f>CONCATENATE("copy ",DE_Doc_TR_Input_File," ",CHAR(34),[1]!AddBackslash(Input_Files),E14,CHAR(34))</f>
        <v>copy C:\TEMPDATA\Report_Output\DEDOCTR.TXT "C:\Documents and Settings\DAG\My Documents\Visual Studio 2010\Projects\NOLANB\DEDocTR_Listing_Splitter\NOTES\Test_Data\DEDOCTR_Case_7.TXT"</v>
      </c>
      <c r="I14" s="9" t="str">
        <f>CONCATENATE([1]!AddBackslash(Backup),G14)</f>
        <v>C:\Documents and Settings\DAG\My Documents\Visual Studio 2010\Projects\NOLANB\DEDocTR_Listing_Splitter\NOTES\_archive\Test_Data_Case_7.ZIPX</v>
      </c>
    </row>
    <row r="15" spans="1:9" x14ac:dyDescent="0.25">
      <c r="A15" s="32">
        <f t="shared" si="2"/>
        <v>8</v>
      </c>
      <c r="B15" s="16" t="s">
        <v>35</v>
      </c>
      <c r="C15" s="17" t="s">
        <v>20</v>
      </c>
      <c r="D15" s="18" t="str">
        <f>D14</f>
        <v>Procedure zz_dag_TenantAccts</v>
      </c>
      <c r="E15" s="17" t="str">
        <f t="shared" si="0"/>
        <v>DEDOCTR_Case_8.TXT</v>
      </c>
      <c r="F15" s="19" t="str">
        <f t="shared" si="3"/>
        <v>Test_Data_Case_7.ZIPX</v>
      </c>
      <c r="G15" s="19" t="str">
        <f t="shared" si="1"/>
        <v>Test_Data_Case_8.ZIPX</v>
      </c>
      <c r="H15" s="19" t="str">
        <f>CONCATENATE("copy ",DE_Doc_TR_Input_File," ",CHAR(34),[1]!AddBackslash(Input_Files),E15,CHAR(34))</f>
        <v>copy C:\TEMPDATA\Report_Output\DEDOCTR.TXT "C:\Documents and Settings\DAG\My Documents\Visual Studio 2010\Projects\NOLANB\DEDocTR_Listing_Splitter\NOTES\Test_Data\DEDOCTR_Case_8.TXT"</v>
      </c>
      <c r="I15" s="20" t="str">
        <f>CONCATENATE([1]!AddBackslash(Backup),G15)</f>
        <v>C:\Documents and Settings\DAG\My Documents\Visual Studio 2010\Projects\NOLANB\DEDocTR_Listing_Splitter\NOTES\_archive\Test_Data_Case_8.ZIPX</v>
      </c>
    </row>
    <row r="16" spans="1:9" x14ac:dyDescent="0.25">
      <c r="A16" s="30">
        <f t="shared" si="2"/>
        <v>9</v>
      </c>
      <c r="B16" s="6" t="s">
        <v>36</v>
      </c>
      <c r="C16" s="7" t="s">
        <v>20</v>
      </c>
      <c r="D16" s="6" t="s">
        <v>37</v>
      </c>
      <c r="E16" s="7" t="str">
        <f t="shared" si="0"/>
        <v>DEDOCTR_Case_9.TXT</v>
      </c>
      <c r="F16" s="8" t="str">
        <f t="shared" si="3"/>
        <v>Test_Data_Case_8.ZIPX</v>
      </c>
      <c r="G16" s="8" t="str">
        <f t="shared" si="1"/>
        <v>Test_Data_Case_9.ZIPX</v>
      </c>
      <c r="H16" s="8" t="str">
        <f>CONCATENATE("copy ",DE_Doc_TR_Input_File," ",CHAR(34),[1]!AddBackslash(Input_Files),E16,CHAR(34))</f>
        <v>copy C:\TEMPDATA\Report_Output\DEDOCTR.TXT "C:\Documents and Settings\DAG\My Documents\Visual Studio 2010\Projects\NOLANB\DEDocTR_Listing_Splitter\NOTES\Test_Data\DEDOCTR_Case_9.TXT"</v>
      </c>
      <c r="I16" s="9" t="str">
        <f>CONCATENATE([1]!AddBackslash(Backup),G16)</f>
        <v>C:\Documents and Settings\DAG\My Documents\Visual Studio 2010\Projects\NOLANB\DEDocTR_Listing_Splitter\NOTES\_archive\Test_Data_Case_9.ZIPX</v>
      </c>
    </row>
    <row r="17" spans="1:9" ht="28.5" x14ac:dyDescent="0.25">
      <c r="A17" s="32">
        <f t="shared" si="2"/>
        <v>10</v>
      </c>
      <c r="B17" s="16" t="s">
        <v>38</v>
      </c>
      <c r="C17" s="17" t="s">
        <v>20</v>
      </c>
      <c r="D17" s="16" t="s">
        <v>39</v>
      </c>
      <c r="E17" s="17" t="str">
        <f t="shared" si="0"/>
        <v>DEDOCTR_Case_10.TXT</v>
      </c>
      <c r="F17" s="19" t="str">
        <f t="shared" si="3"/>
        <v>Test_Data_Case_9.ZIPX</v>
      </c>
      <c r="G17" s="19" t="str">
        <f t="shared" si="1"/>
        <v>Test_Data_Case_10.ZIPX</v>
      </c>
      <c r="H17" s="19" t="str">
        <f>CONCATENATE("copy ",DE_Doc_TR_Input_File," ",CHAR(34),[1]!AddBackslash(Input_Files),E17,CHAR(34))</f>
        <v>copy C:\TEMPDATA\Report_Output\DEDOCTR.TXT "C:\Documents and Settings\DAG\My Documents\Visual Studio 2010\Projects\NOLANB\DEDocTR_Listing_Splitter\NOTES\Test_Data\DEDOCTR_Case_10.TXT"</v>
      </c>
      <c r="I17" s="20" t="str">
        <f>CONCATENATE([1]!AddBackslash(Backup),G17)</f>
        <v>C:\Documents and Settings\DAG\My Documents\Visual Studio 2010\Projects\NOLANB\DEDocTR_Listing_Splitter\NOTES\_archive\Test_Data_Case_10.ZIPX</v>
      </c>
    </row>
    <row r="18" spans="1:9" ht="28.5" x14ac:dyDescent="0.25">
      <c r="A18" s="30">
        <f t="shared" si="2"/>
        <v>11</v>
      </c>
      <c r="B18" s="6" t="s">
        <v>40</v>
      </c>
      <c r="C18" s="7" t="s">
        <v>20</v>
      </c>
      <c r="D18" s="6" t="s">
        <v>41</v>
      </c>
      <c r="E18" s="7" t="str">
        <f t="shared" si="0"/>
        <v>DEDOCTR_Case_11.TXT</v>
      </c>
      <c r="F18" s="8" t="str">
        <f t="shared" si="3"/>
        <v>Test_Data_Case_10.ZIPX</v>
      </c>
      <c r="G18" s="8" t="str">
        <f t="shared" si="1"/>
        <v>Test_Data_Case_11.ZIPX</v>
      </c>
      <c r="H18" s="8" t="str">
        <f>CONCATENATE("copy ",DE_Doc_TR_Input_File," ",CHAR(34),[1]!AddBackslash(Input_Files),E18,CHAR(34))</f>
        <v>copy C:\TEMPDATA\Report_Output\DEDOCTR.TXT "C:\Documents and Settings\DAG\My Documents\Visual Studio 2010\Projects\NOLANB\DEDocTR_Listing_Splitter\NOTES\Test_Data\DEDOCTR_Case_11.TXT"</v>
      </c>
      <c r="I18" s="9" t="str">
        <f>CONCATENATE([1]!AddBackslash(Backup),G18)</f>
        <v>C:\Documents and Settings\DAG\My Documents\Visual Studio 2010\Projects\NOLANB\DEDocTR_Listing_Splitter\NOTES\_archive\Test_Data_Case_11.ZIPX</v>
      </c>
    </row>
  </sheetData>
  <mergeCells count="5">
    <mergeCell ref="C1:XFD1"/>
    <mergeCell ref="C2:XFD2"/>
    <mergeCell ref="C3:XFD3"/>
    <mergeCell ref="C4:XFD4"/>
    <mergeCell ref="C5:XFD5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M17"/>
  <sheetViews>
    <sheetView workbookViewId="0">
      <selection activeCell="C11" sqref="C11"/>
    </sheetView>
  </sheetViews>
  <sheetFormatPr defaultRowHeight="15" x14ac:dyDescent="0.25"/>
  <cols>
    <col min="1" max="1" width="6.75" customWidth="1"/>
    <col min="2" max="2" width="5.375" style="28" customWidth="1"/>
    <col min="3" max="3" width="8.75" style="28" customWidth="1"/>
    <col min="4" max="4" width="55.625" customWidth="1"/>
    <col min="5" max="5" width="35.625" bestFit="1" customWidth="1"/>
    <col min="6" max="6" width="6" bestFit="1" customWidth="1"/>
    <col min="7" max="8" width="20.125" bestFit="1" customWidth="1"/>
  </cols>
  <sheetData>
    <row r="1" spans="1:13" s="29" customFormat="1" ht="18" x14ac:dyDescent="0.25">
      <c r="D1" s="3" t="s">
        <v>78</v>
      </c>
      <c r="E1" s="143" t="s">
        <v>79</v>
      </c>
      <c r="F1" s="143"/>
      <c r="G1" s="143"/>
      <c r="H1" s="143"/>
      <c r="I1" s="143"/>
      <c r="J1" s="143"/>
      <c r="K1" s="143"/>
      <c r="L1" s="143"/>
      <c r="M1" s="143"/>
    </row>
    <row r="2" spans="1:13" ht="18" x14ac:dyDescent="0.25">
      <c r="A2" s="29"/>
      <c r="B2" s="29"/>
      <c r="C2" s="29"/>
      <c r="F2" s="41" t="s">
        <v>82</v>
      </c>
      <c r="G2" s="41" t="s">
        <v>83</v>
      </c>
      <c r="H2" s="41" t="s">
        <v>84</v>
      </c>
    </row>
    <row r="3" spans="1:13" s="29" customFormat="1" ht="18" x14ac:dyDescent="0.25">
      <c r="D3" s="3" t="s">
        <v>80</v>
      </c>
      <c r="E3" s="9" t="s">
        <v>81</v>
      </c>
      <c r="F3" s="9">
        <f>[1]!lngFileSize(CONCATENATE([1]!AddBackslash(Data_Directory),$E3))</f>
        <v>893</v>
      </c>
      <c r="G3" s="42">
        <f>[1]!dtmFileDateInfo(CONCATENATE([1]!AddBackslash(Data_Directory),$E3))</f>
        <v>41234.547835648147</v>
      </c>
      <c r="H3" s="42">
        <f>[1]!dtmFileDateInfo(CONCATENATE([1]!AddBackslash(Data_Directory),$E3),1)</f>
        <v>41841.55091435185</v>
      </c>
    </row>
    <row r="4" spans="1:13" x14ac:dyDescent="0.25">
      <c r="A4" s="29"/>
      <c r="B4" s="29"/>
      <c r="C4"/>
    </row>
    <row r="5" spans="1:13" ht="18" x14ac:dyDescent="0.25">
      <c r="A5" s="2" t="s">
        <v>10</v>
      </c>
      <c r="B5" s="3" t="s">
        <v>45</v>
      </c>
      <c r="C5" s="3" t="s">
        <v>12</v>
      </c>
      <c r="D5" s="3" t="s">
        <v>11</v>
      </c>
      <c r="E5" s="4" t="s">
        <v>44</v>
      </c>
      <c r="F5" s="41" t="s">
        <v>82</v>
      </c>
      <c r="G5" s="41" t="s">
        <v>83</v>
      </c>
      <c r="H5" s="41" t="s">
        <v>84</v>
      </c>
    </row>
    <row r="6" spans="1:13" x14ac:dyDescent="0.25">
      <c r="A6" s="30">
        <v>1</v>
      </c>
      <c r="B6" s="7">
        <f>LEN(A6)</f>
        <v>1</v>
      </c>
      <c r="C6" s="7" t="s">
        <v>20</v>
      </c>
      <c r="D6" s="6" t="s">
        <v>19</v>
      </c>
      <c r="E6" s="9" t="str">
        <f t="shared" ref="E6:E15" si="0">CONCATENATE("MergeNewItemsIntoArray_Case_",REPT("0",$B$17-B6),A6,".TXT")</f>
        <v>MergeNewItemsIntoArray_Case_01.TXT</v>
      </c>
      <c r="F6" s="9">
        <f>[1]!lngFileSize(CONCATENATE([1]!AddBackslash(Data_Directory),$E6))</f>
        <v>92</v>
      </c>
      <c r="G6" s="42">
        <f>[1]!dtmFileDateInfo(CONCATENATE([1]!AddBackslash(Data_Directory),$E6))</f>
        <v>41234.552928240744</v>
      </c>
      <c r="H6" s="42">
        <f>[1]!dtmFileDateInfo(CONCATENATE([1]!AddBackslash(Data_Directory),$E6),1)</f>
        <v>41841.55091435185</v>
      </c>
    </row>
    <row r="7" spans="1:13" x14ac:dyDescent="0.25">
      <c r="A7" s="31">
        <f>+A6+1</f>
        <v>2</v>
      </c>
      <c r="B7" s="12">
        <f t="shared" ref="B7:B15" si="1">LEN(A7)</f>
        <v>1</v>
      </c>
      <c r="C7" s="12" t="s">
        <v>20</v>
      </c>
      <c r="D7" s="11" t="s">
        <v>46</v>
      </c>
      <c r="E7" s="14" t="str">
        <f t="shared" si="0"/>
        <v>MergeNewItemsIntoArray_Case_02.TXT</v>
      </c>
      <c r="F7" s="14">
        <f>[1]!lngFileSize(CONCATENATE([1]!AddBackslash(Data_Directory),$E7))</f>
        <v>56</v>
      </c>
      <c r="G7" s="43">
        <f>[1]!dtmFileDateInfo(CONCATENATE([1]!AddBackslash(Data_Directory),$E7))</f>
        <v>41234.554826388892</v>
      </c>
      <c r="H7" s="43">
        <f>[1]!dtmFileDateInfo(CONCATENATE([1]!AddBackslash(Data_Directory),$E7),1)</f>
        <v>41841.550925925927</v>
      </c>
    </row>
    <row r="8" spans="1:13" x14ac:dyDescent="0.25">
      <c r="A8" s="30">
        <f t="shared" ref="A8:A15" si="2">+A7+1</f>
        <v>3</v>
      </c>
      <c r="B8" s="7">
        <f t="shared" si="1"/>
        <v>1</v>
      </c>
      <c r="C8" s="7" t="s">
        <v>20</v>
      </c>
      <c r="D8" s="6" t="s">
        <v>47</v>
      </c>
      <c r="E8" s="9" t="str">
        <f t="shared" si="0"/>
        <v>MergeNewItemsIntoArray_Case_03.TXT</v>
      </c>
      <c r="F8" s="9">
        <f>[1]!lngFileSize(CONCATENATE([1]!AddBackslash(Data_Directory),$E8))</f>
        <v>52</v>
      </c>
      <c r="G8" s="42">
        <f>[1]!dtmFileDateInfo(CONCATENATE([1]!AddBackslash(Data_Directory),$E8))</f>
        <v>41234.558761574073</v>
      </c>
      <c r="H8" s="42">
        <f>[1]!dtmFileDateInfo(CONCATENATE([1]!AddBackslash(Data_Directory),$E8),1)</f>
        <v>41841.550937499997</v>
      </c>
    </row>
    <row r="9" spans="1:13" x14ac:dyDescent="0.25">
      <c r="A9" s="31">
        <f t="shared" si="2"/>
        <v>4</v>
      </c>
      <c r="B9" s="12">
        <f t="shared" si="1"/>
        <v>1</v>
      </c>
      <c r="C9" s="12" t="s">
        <v>20</v>
      </c>
      <c r="D9" s="11" t="s">
        <v>48</v>
      </c>
      <c r="E9" s="14" t="str">
        <f t="shared" si="0"/>
        <v>MergeNewItemsIntoArray_Case_04.TXT</v>
      </c>
      <c r="F9" s="14">
        <f>[1]!lngFileSize(CONCATENATE([1]!AddBackslash(Data_Directory),$E9))</f>
        <v>54</v>
      </c>
      <c r="G9" s="43">
        <f>[1]!dtmFileDateInfo(CONCATENATE([1]!AddBackslash(Data_Directory),$E9))</f>
        <v>41234.56009259259</v>
      </c>
      <c r="H9" s="43">
        <f>[1]!dtmFileDateInfo(CONCATENATE([1]!AddBackslash(Data_Directory),$E9),1)</f>
        <v>41841.550937499997</v>
      </c>
    </row>
    <row r="10" spans="1:13" x14ac:dyDescent="0.25">
      <c r="A10" s="30">
        <f t="shared" si="2"/>
        <v>5</v>
      </c>
      <c r="B10" s="7">
        <f t="shared" si="1"/>
        <v>1</v>
      </c>
      <c r="C10" s="7" t="s">
        <v>20</v>
      </c>
      <c r="D10" s="6" t="s">
        <v>49</v>
      </c>
      <c r="E10" s="9" t="str">
        <f t="shared" si="0"/>
        <v>MergeNewItemsIntoArray_Case_05.TXT</v>
      </c>
      <c r="F10" s="9">
        <f>[1]!lngFileSize(CONCATENATE([1]!AddBackslash(Data_Directory),$E10))</f>
        <v>97</v>
      </c>
      <c r="G10" s="42">
        <f>[1]!dtmFileDateInfo(CONCATENATE([1]!AddBackslash(Data_Directory),$E10))</f>
        <v>41234.560891203706</v>
      </c>
      <c r="H10" s="42">
        <f>[1]!dtmFileDateInfo(CONCATENATE([1]!AddBackslash(Data_Directory),$E10),1)</f>
        <v>41841.550949074073</v>
      </c>
    </row>
    <row r="11" spans="1:13" x14ac:dyDescent="0.25">
      <c r="A11" s="31">
        <f t="shared" si="2"/>
        <v>6</v>
      </c>
      <c r="B11" s="12">
        <f t="shared" si="1"/>
        <v>1</v>
      </c>
      <c r="C11" s="12" t="s">
        <v>20</v>
      </c>
      <c r="D11" s="11" t="s">
        <v>50</v>
      </c>
      <c r="E11" s="14" t="str">
        <f t="shared" si="0"/>
        <v>MergeNewItemsIntoArray_Case_06.TXT</v>
      </c>
      <c r="F11" s="14">
        <f>[1]!lngFileSize(CONCATENATE([1]!AddBackslash(Data_Directory),$E11))</f>
        <v>131</v>
      </c>
      <c r="G11" s="43">
        <f>[1]!dtmFileDateInfo(CONCATENATE([1]!AddBackslash(Data_Directory),$E11))</f>
        <v>41234.563738425924</v>
      </c>
      <c r="H11" s="43">
        <f>[1]!dtmFileDateInfo(CONCATENATE([1]!AddBackslash(Data_Directory),$E11),1)</f>
        <v>41841.55096064815</v>
      </c>
    </row>
    <row r="12" spans="1:13" ht="28.5" x14ac:dyDescent="0.25">
      <c r="A12" s="30">
        <f t="shared" si="2"/>
        <v>7</v>
      </c>
      <c r="B12" s="7">
        <f t="shared" si="1"/>
        <v>1</v>
      </c>
      <c r="C12" s="7" t="s">
        <v>20</v>
      </c>
      <c r="D12" s="6" t="s">
        <v>51</v>
      </c>
      <c r="E12" s="9" t="str">
        <f t="shared" si="0"/>
        <v>MergeNewItemsIntoArray_Case_07.TXT</v>
      </c>
      <c r="F12" s="9">
        <f>[1]!lngFileSize(CONCATENATE([1]!AddBackslash(Data_Directory),$E12))</f>
        <v>142</v>
      </c>
      <c r="G12" s="42">
        <f>[1]!dtmFileDateInfo(CONCATENATE([1]!AddBackslash(Data_Directory),$E12))</f>
        <v>41234.567812499998</v>
      </c>
      <c r="H12" s="42">
        <f>[1]!dtmFileDateInfo(CONCATENATE([1]!AddBackslash(Data_Directory),$E12),1)</f>
        <v>41841.55096064815</v>
      </c>
    </row>
    <row r="13" spans="1:13" ht="28.5" x14ac:dyDescent="0.25">
      <c r="A13" s="31">
        <f t="shared" si="2"/>
        <v>8</v>
      </c>
      <c r="B13" s="12">
        <f t="shared" si="1"/>
        <v>1</v>
      </c>
      <c r="C13" s="12" t="s">
        <v>20</v>
      </c>
      <c r="D13" s="11" t="s">
        <v>52</v>
      </c>
      <c r="E13" s="14" t="str">
        <f t="shared" si="0"/>
        <v>MergeNewItemsIntoArray_Case_08.TXT</v>
      </c>
      <c r="F13" s="14">
        <f>[1]!lngFileSize(CONCATENATE([1]!AddBackslash(Data_Directory),$E13))</f>
        <v>282</v>
      </c>
      <c r="G13" s="43">
        <f>[1]!dtmFileDateInfo(CONCATENATE([1]!AddBackslash(Data_Directory),$E13))</f>
        <v>41234.572430555556</v>
      </c>
      <c r="H13" s="43">
        <f>[1]!dtmFileDateInfo(CONCATENATE([1]!AddBackslash(Data_Directory),$E13),1)</f>
        <v>41841.55097222222</v>
      </c>
    </row>
    <row r="14" spans="1:13" x14ac:dyDescent="0.25">
      <c r="A14" s="30">
        <f t="shared" si="2"/>
        <v>9</v>
      </c>
      <c r="B14" s="7">
        <f t="shared" si="1"/>
        <v>1</v>
      </c>
      <c r="C14" s="7" t="s">
        <v>20</v>
      </c>
      <c r="D14" s="6" t="s">
        <v>53</v>
      </c>
      <c r="E14" s="9" t="str">
        <f t="shared" si="0"/>
        <v>MergeNewItemsIntoArray_Case_09.TXT</v>
      </c>
      <c r="F14" s="9">
        <f>[1]!lngFileSize(CONCATENATE([1]!AddBackslash(Data_Directory),$E14))</f>
        <v>128</v>
      </c>
      <c r="G14" s="42">
        <f>[1]!dtmFileDateInfo(CONCATENATE([1]!AddBackslash(Data_Directory),$E14))</f>
        <v>41234.575138888889</v>
      </c>
      <c r="H14" s="42">
        <f>[1]!dtmFileDateInfo(CONCATENATE([1]!AddBackslash(Data_Directory),$E14),1)</f>
        <v>41841.550983796296</v>
      </c>
    </row>
    <row r="15" spans="1:13" x14ac:dyDescent="0.25">
      <c r="A15" s="32">
        <f t="shared" si="2"/>
        <v>10</v>
      </c>
      <c r="B15" s="17">
        <f t="shared" si="1"/>
        <v>2</v>
      </c>
      <c r="C15" s="17" t="s">
        <v>20</v>
      </c>
      <c r="D15" s="16" t="s">
        <v>54</v>
      </c>
      <c r="E15" s="20" t="str">
        <f t="shared" si="0"/>
        <v>MergeNewItemsIntoArray_Case_10.TXT</v>
      </c>
      <c r="F15" s="20">
        <f>[1]!lngFileSize(CONCATENATE([1]!AddBackslash(Data_Directory),$E15))</f>
        <v>146</v>
      </c>
      <c r="G15" s="44">
        <f>[1]!dtmFileDateInfo(CONCATENATE([1]!AddBackslash(Data_Directory),$E15))</f>
        <v>41234.575601851851</v>
      </c>
      <c r="H15" s="44">
        <f>[1]!dtmFileDateInfo(CONCATENATE([1]!AddBackslash(Data_Directory),$E15),1)</f>
        <v>41841.550983796296</v>
      </c>
    </row>
    <row r="16" spans="1:13" x14ac:dyDescent="0.25">
      <c r="A16" s="33"/>
      <c r="B16" s="33"/>
      <c r="C16" s="33"/>
      <c r="D16" s="34"/>
      <c r="E16" s="33"/>
    </row>
    <row r="17" spans="2:3" ht="18" x14ac:dyDescent="0.25">
      <c r="B17" s="3">
        <f>MAX(B5:B16)</f>
        <v>2</v>
      </c>
      <c r="C17" s="21"/>
    </row>
  </sheetData>
  <mergeCells count="1">
    <mergeCell ref="E1:M1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31"/>
  <sheetViews>
    <sheetView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B30" sqref="B30"/>
    </sheetView>
  </sheetViews>
  <sheetFormatPr defaultRowHeight="15" x14ac:dyDescent="0.25"/>
  <cols>
    <col min="1" max="1" width="15" bestFit="1" customWidth="1"/>
    <col min="2" max="2" width="37.75" bestFit="1" customWidth="1"/>
    <col min="3" max="3" width="20.125" bestFit="1" customWidth="1"/>
    <col min="4" max="4" width="5.875" bestFit="1" customWidth="1"/>
    <col min="5" max="5" width="11.375" bestFit="1" customWidth="1"/>
  </cols>
  <sheetData>
    <row r="1" spans="1:5" ht="15.75" x14ac:dyDescent="0.25">
      <c r="A1" s="48" t="s">
        <v>99</v>
      </c>
      <c r="B1" s="48" t="s">
        <v>100</v>
      </c>
      <c r="C1" s="48" t="s">
        <v>101</v>
      </c>
      <c r="D1" s="48" t="s">
        <v>82</v>
      </c>
      <c r="E1" s="48" t="s">
        <v>102</v>
      </c>
    </row>
    <row r="2" spans="1:5" x14ac:dyDescent="0.25">
      <c r="A2" t="s">
        <v>103</v>
      </c>
      <c r="B2" t="s">
        <v>81</v>
      </c>
      <c r="C2" s="51">
        <v>41234.506168981483</v>
      </c>
      <c r="D2">
        <v>893</v>
      </c>
      <c r="E2">
        <v>20</v>
      </c>
    </row>
    <row r="3" spans="1:5" x14ac:dyDescent="0.25">
      <c r="A3" t="s">
        <v>104</v>
      </c>
      <c r="B3" t="s">
        <v>105</v>
      </c>
      <c r="C3" s="51">
        <v>41234.511261574073</v>
      </c>
      <c r="D3">
        <v>92</v>
      </c>
      <c r="E3">
        <v>1</v>
      </c>
    </row>
    <row r="4" spans="1:5" x14ac:dyDescent="0.25">
      <c r="A4" t="s">
        <v>106</v>
      </c>
      <c r="B4" t="s">
        <v>107</v>
      </c>
      <c r="C4" s="51">
        <v>41279.702152777776</v>
      </c>
      <c r="D4">
        <v>929</v>
      </c>
      <c r="E4">
        <v>20</v>
      </c>
    </row>
    <row r="5" spans="1:5" x14ac:dyDescent="0.25">
      <c r="A5" t="s">
        <v>103</v>
      </c>
      <c r="B5" t="s">
        <v>107</v>
      </c>
      <c r="C5" s="51">
        <v>41279.702152777776</v>
      </c>
      <c r="D5">
        <v>929</v>
      </c>
      <c r="E5">
        <v>20</v>
      </c>
    </row>
    <row r="6" spans="1:5" x14ac:dyDescent="0.25">
      <c r="A6" t="s">
        <v>104</v>
      </c>
      <c r="B6" t="s">
        <v>109</v>
      </c>
      <c r="C6" s="51">
        <v>41234.513159722221</v>
      </c>
      <c r="D6">
        <v>56</v>
      </c>
      <c r="E6">
        <v>1</v>
      </c>
    </row>
    <row r="7" spans="1:5" x14ac:dyDescent="0.25">
      <c r="A7" t="s">
        <v>106</v>
      </c>
      <c r="B7" t="s">
        <v>110</v>
      </c>
      <c r="C7" s="51">
        <v>41279.702152777776</v>
      </c>
      <c r="D7">
        <v>974</v>
      </c>
      <c r="E7">
        <v>21</v>
      </c>
    </row>
    <row r="8" spans="1:5" x14ac:dyDescent="0.25">
      <c r="A8" t="s">
        <v>103</v>
      </c>
      <c r="B8" t="s">
        <v>110</v>
      </c>
      <c r="C8" s="51">
        <v>41279.702152777776</v>
      </c>
      <c r="D8">
        <v>974</v>
      </c>
      <c r="E8">
        <v>21</v>
      </c>
    </row>
    <row r="9" spans="1:5" x14ac:dyDescent="0.25">
      <c r="A9" t="s">
        <v>104</v>
      </c>
      <c r="B9" t="s">
        <v>113</v>
      </c>
      <c r="C9" s="51">
        <v>41234.517094907409</v>
      </c>
      <c r="D9">
        <v>52</v>
      </c>
      <c r="E9">
        <v>1</v>
      </c>
    </row>
    <row r="10" spans="1:5" x14ac:dyDescent="0.25">
      <c r="A10" t="s">
        <v>106</v>
      </c>
      <c r="B10" t="s">
        <v>114</v>
      </c>
      <c r="C10" s="51">
        <v>41279.702152777776</v>
      </c>
      <c r="D10" s="47">
        <v>1015</v>
      </c>
      <c r="E10">
        <v>22</v>
      </c>
    </row>
    <row r="11" spans="1:5" x14ac:dyDescent="0.25">
      <c r="A11" t="s">
        <v>103</v>
      </c>
      <c r="B11" t="s">
        <v>114</v>
      </c>
      <c r="C11" s="51">
        <v>41279.702152777776</v>
      </c>
      <c r="D11" s="47">
        <v>1015</v>
      </c>
      <c r="E11">
        <v>22</v>
      </c>
    </row>
    <row r="12" spans="1:5" x14ac:dyDescent="0.25">
      <c r="A12" t="s">
        <v>104</v>
      </c>
      <c r="B12" t="s">
        <v>117</v>
      </c>
      <c r="C12" s="51">
        <v>41234.518425925926</v>
      </c>
      <c r="D12">
        <v>54</v>
      </c>
      <c r="E12">
        <v>1</v>
      </c>
    </row>
    <row r="13" spans="1:5" x14ac:dyDescent="0.25">
      <c r="A13" t="s">
        <v>106</v>
      </c>
      <c r="B13" t="s">
        <v>118</v>
      </c>
      <c r="C13" s="51">
        <v>41279.702152777776</v>
      </c>
      <c r="D13" s="47">
        <v>1058</v>
      </c>
      <c r="E13">
        <v>23</v>
      </c>
    </row>
    <row r="14" spans="1:5" x14ac:dyDescent="0.25">
      <c r="A14" t="s">
        <v>103</v>
      </c>
      <c r="B14" t="s">
        <v>118</v>
      </c>
      <c r="C14" s="51">
        <v>41279.702152777776</v>
      </c>
      <c r="D14" s="47">
        <v>1058</v>
      </c>
      <c r="E14">
        <v>23</v>
      </c>
    </row>
    <row r="15" spans="1:5" x14ac:dyDescent="0.25">
      <c r="A15" t="s">
        <v>104</v>
      </c>
      <c r="B15" t="s">
        <v>121</v>
      </c>
      <c r="C15" s="51">
        <v>41234.519224537034</v>
      </c>
      <c r="D15">
        <v>97</v>
      </c>
      <c r="E15">
        <v>2</v>
      </c>
    </row>
    <row r="16" spans="1:5" x14ac:dyDescent="0.25">
      <c r="A16" t="s">
        <v>106</v>
      </c>
      <c r="B16" t="s">
        <v>122</v>
      </c>
      <c r="C16" s="51">
        <v>41279.702152777776</v>
      </c>
      <c r="D16" s="47">
        <v>1144</v>
      </c>
      <c r="E16">
        <v>25</v>
      </c>
    </row>
    <row r="17" spans="1:5" x14ac:dyDescent="0.25">
      <c r="A17" t="s">
        <v>103</v>
      </c>
      <c r="B17" t="s">
        <v>122</v>
      </c>
      <c r="C17" s="51">
        <v>41279.702152777776</v>
      </c>
      <c r="D17" s="47">
        <v>1144</v>
      </c>
      <c r="E17">
        <v>25</v>
      </c>
    </row>
    <row r="18" spans="1:5" x14ac:dyDescent="0.25">
      <c r="A18" t="s">
        <v>104</v>
      </c>
      <c r="B18" t="s">
        <v>125</v>
      </c>
      <c r="C18" s="51">
        <v>41234.52207175926</v>
      </c>
      <c r="D18">
        <v>131</v>
      </c>
      <c r="E18">
        <v>2</v>
      </c>
    </row>
    <row r="19" spans="1:5" x14ac:dyDescent="0.25">
      <c r="A19" t="s">
        <v>106</v>
      </c>
      <c r="B19" t="s">
        <v>126</v>
      </c>
      <c r="C19" s="51">
        <v>41279.702152777776</v>
      </c>
      <c r="D19" s="47">
        <v>1219</v>
      </c>
      <c r="E19">
        <v>26</v>
      </c>
    </row>
    <row r="20" spans="1:5" x14ac:dyDescent="0.25">
      <c r="A20" t="s">
        <v>103</v>
      </c>
      <c r="B20" t="s">
        <v>126</v>
      </c>
      <c r="C20" s="51">
        <v>41279.702152777776</v>
      </c>
      <c r="D20" s="47">
        <v>1219</v>
      </c>
      <c r="E20">
        <v>26</v>
      </c>
    </row>
    <row r="21" spans="1:5" x14ac:dyDescent="0.25">
      <c r="A21" t="s">
        <v>104</v>
      </c>
      <c r="B21" t="s">
        <v>129</v>
      </c>
      <c r="C21" s="51">
        <v>41234.526145833333</v>
      </c>
      <c r="D21">
        <v>142</v>
      </c>
      <c r="E21">
        <v>3</v>
      </c>
    </row>
    <row r="22" spans="1:5" x14ac:dyDescent="0.25">
      <c r="A22" t="s">
        <v>106</v>
      </c>
      <c r="B22" t="s">
        <v>130</v>
      </c>
      <c r="C22" s="51">
        <v>41279.702152777776</v>
      </c>
      <c r="D22" s="47">
        <v>1350</v>
      </c>
      <c r="E22">
        <v>29</v>
      </c>
    </row>
    <row r="23" spans="1:5" x14ac:dyDescent="0.25">
      <c r="A23" t="s">
        <v>103</v>
      </c>
      <c r="B23" t="s">
        <v>130</v>
      </c>
      <c r="C23" s="51">
        <v>41279.702152777776</v>
      </c>
      <c r="D23" s="47">
        <v>1350</v>
      </c>
      <c r="E23">
        <v>29</v>
      </c>
    </row>
    <row r="24" spans="1:5" x14ac:dyDescent="0.25">
      <c r="A24" t="s">
        <v>104</v>
      </c>
      <c r="B24" t="s">
        <v>133</v>
      </c>
      <c r="C24" s="51">
        <v>41234.530763888892</v>
      </c>
      <c r="D24">
        <v>282</v>
      </c>
      <c r="E24">
        <v>5</v>
      </c>
    </row>
    <row r="25" spans="1:5" x14ac:dyDescent="0.25">
      <c r="A25" t="s">
        <v>106</v>
      </c>
      <c r="B25" t="s">
        <v>134</v>
      </c>
      <c r="C25" s="51">
        <v>41279.702152777776</v>
      </c>
      <c r="D25" s="47">
        <v>1533</v>
      </c>
      <c r="E25">
        <v>32</v>
      </c>
    </row>
    <row r="26" spans="1:5" x14ac:dyDescent="0.25">
      <c r="A26" t="s">
        <v>103</v>
      </c>
      <c r="B26" t="s">
        <v>134</v>
      </c>
      <c r="C26" s="51">
        <v>41279.702152777776</v>
      </c>
      <c r="D26" s="47">
        <v>1533</v>
      </c>
      <c r="E26">
        <v>32</v>
      </c>
    </row>
    <row r="27" spans="1:5" x14ac:dyDescent="0.25">
      <c r="A27" t="s">
        <v>104</v>
      </c>
      <c r="B27" t="s">
        <v>137</v>
      </c>
      <c r="C27" s="51">
        <v>41234.533472222225</v>
      </c>
      <c r="D27">
        <v>128</v>
      </c>
      <c r="E27">
        <v>3</v>
      </c>
    </row>
    <row r="28" spans="1:5" x14ac:dyDescent="0.25">
      <c r="A28" t="s">
        <v>106</v>
      </c>
      <c r="B28" t="s">
        <v>138</v>
      </c>
      <c r="C28" s="51">
        <v>41279.702152777776</v>
      </c>
      <c r="D28" s="47">
        <v>1650</v>
      </c>
      <c r="E28">
        <v>35</v>
      </c>
    </row>
    <row r="29" spans="1:5" x14ac:dyDescent="0.25">
      <c r="A29" t="s">
        <v>103</v>
      </c>
      <c r="B29" t="s">
        <v>138</v>
      </c>
      <c r="C29" s="51">
        <v>41279.702152777776</v>
      </c>
      <c r="D29" s="47">
        <v>1650</v>
      </c>
      <c r="E29">
        <v>35</v>
      </c>
    </row>
    <row r="30" spans="1:5" x14ac:dyDescent="0.25">
      <c r="A30" t="s">
        <v>104</v>
      </c>
      <c r="B30" t="s">
        <v>141</v>
      </c>
      <c r="C30" s="51">
        <v>41234.533935185187</v>
      </c>
      <c r="D30">
        <v>146</v>
      </c>
      <c r="E30">
        <v>3</v>
      </c>
    </row>
    <row r="31" spans="1:5" x14ac:dyDescent="0.25">
      <c r="A31" t="s">
        <v>106</v>
      </c>
      <c r="B31" t="s">
        <v>142</v>
      </c>
      <c r="C31" s="51">
        <v>41279.702152777776</v>
      </c>
      <c r="D31" s="47">
        <v>1785</v>
      </c>
      <c r="E31">
        <v>38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B21"/>
  <sheetViews>
    <sheetView workbookViewId="0"/>
  </sheetViews>
  <sheetFormatPr defaultRowHeight="15" x14ac:dyDescent="0.25"/>
  <cols>
    <col min="1" max="1" width="5.5" bestFit="1" customWidth="1"/>
    <col min="2" max="2" width="39.75" bestFit="1" customWidth="1"/>
  </cols>
  <sheetData>
    <row r="1" spans="1:2" ht="18" x14ac:dyDescent="0.25">
      <c r="A1" s="2" t="s">
        <v>42</v>
      </c>
      <c r="B1" s="4" t="s">
        <v>43</v>
      </c>
    </row>
    <row r="2" spans="1:2" x14ac:dyDescent="0.25">
      <c r="A2" s="24">
        <v>100</v>
      </c>
      <c r="B2" s="25" t="str">
        <f>CONCATENATE("The value stored in this slot is ",A2,".")</f>
        <v>The value stored in this slot is 100.</v>
      </c>
    </row>
    <row r="3" spans="1:2" x14ac:dyDescent="0.25">
      <c r="A3" s="26">
        <v>200</v>
      </c>
      <c r="B3" s="27" t="str">
        <f t="shared" ref="B3:B21" si="0">CONCATENATE("The value stored in this slot is ",A3,".")</f>
        <v>The value stored in this slot is 200.</v>
      </c>
    </row>
    <row r="4" spans="1:2" x14ac:dyDescent="0.25">
      <c r="A4" s="24">
        <v>300</v>
      </c>
      <c r="B4" s="25" t="str">
        <f t="shared" si="0"/>
        <v>The value stored in this slot is 300.</v>
      </c>
    </row>
    <row r="5" spans="1:2" x14ac:dyDescent="0.25">
      <c r="A5" s="26">
        <v>400</v>
      </c>
      <c r="B5" s="27" t="str">
        <f t="shared" si="0"/>
        <v>The value stored in this slot is 400.</v>
      </c>
    </row>
    <row r="6" spans="1:2" x14ac:dyDescent="0.25">
      <c r="A6" s="24">
        <v>500</v>
      </c>
      <c r="B6" s="25" t="str">
        <f t="shared" si="0"/>
        <v>The value stored in this slot is 500.</v>
      </c>
    </row>
    <row r="7" spans="1:2" x14ac:dyDescent="0.25">
      <c r="A7" s="26">
        <v>600</v>
      </c>
      <c r="B7" s="27" t="str">
        <f t="shared" si="0"/>
        <v>The value stored in this slot is 600.</v>
      </c>
    </row>
    <row r="8" spans="1:2" x14ac:dyDescent="0.25">
      <c r="A8" s="24">
        <v>700</v>
      </c>
      <c r="B8" s="25" t="str">
        <f t="shared" si="0"/>
        <v>The value stored in this slot is 700.</v>
      </c>
    </row>
    <row r="9" spans="1:2" x14ac:dyDescent="0.25">
      <c r="A9" s="26">
        <v>800</v>
      </c>
      <c r="B9" s="27" t="str">
        <f t="shared" si="0"/>
        <v>The value stored in this slot is 800.</v>
      </c>
    </row>
    <row r="10" spans="1:2" x14ac:dyDescent="0.25">
      <c r="A10" s="24">
        <v>900</v>
      </c>
      <c r="B10" s="25" t="str">
        <f t="shared" si="0"/>
        <v>The value stored in this slot is 900.</v>
      </c>
    </row>
    <row r="11" spans="1:2" x14ac:dyDescent="0.25">
      <c r="A11" s="26">
        <v>1000</v>
      </c>
      <c r="B11" s="27" t="str">
        <f t="shared" si="0"/>
        <v>The value stored in this slot is 1000.</v>
      </c>
    </row>
    <row r="12" spans="1:2" x14ac:dyDescent="0.25">
      <c r="A12" s="24">
        <v>1100</v>
      </c>
      <c r="B12" s="25" t="str">
        <f t="shared" si="0"/>
        <v>The value stored in this slot is 1100.</v>
      </c>
    </row>
    <row r="13" spans="1:2" x14ac:dyDescent="0.25">
      <c r="A13" s="26">
        <v>1200</v>
      </c>
      <c r="B13" s="27" t="str">
        <f t="shared" si="0"/>
        <v>The value stored in this slot is 1200.</v>
      </c>
    </row>
    <row r="14" spans="1:2" x14ac:dyDescent="0.25">
      <c r="A14" s="24">
        <v>1300</v>
      </c>
      <c r="B14" s="25" t="str">
        <f t="shared" si="0"/>
        <v>The value stored in this slot is 1300.</v>
      </c>
    </row>
    <row r="15" spans="1:2" x14ac:dyDescent="0.25">
      <c r="A15" s="26">
        <v>1400</v>
      </c>
      <c r="B15" s="27" t="str">
        <f t="shared" si="0"/>
        <v>The value stored in this slot is 1400.</v>
      </c>
    </row>
    <row r="16" spans="1:2" x14ac:dyDescent="0.25">
      <c r="A16" s="24">
        <v>1500</v>
      </c>
      <c r="B16" s="25" t="str">
        <f t="shared" si="0"/>
        <v>The value stored in this slot is 1500.</v>
      </c>
    </row>
    <row r="17" spans="1:2" x14ac:dyDescent="0.25">
      <c r="A17" s="26">
        <v>1600</v>
      </c>
      <c r="B17" s="27" t="str">
        <f t="shared" si="0"/>
        <v>The value stored in this slot is 1600.</v>
      </c>
    </row>
    <row r="18" spans="1:2" x14ac:dyDescent="0.25">
      <c r="A18" s="24">
        <v>1700</v>
      </c>
      <c r="B18" s="25" t="str">
        <f t="shared" si="0"/>
        <v>The value stored in this slot is 1700.</v>
      </c>
    </row>
    <row r="19" spans="1:2" x14ac:dyDescent="0.25">
      <c r="A19" s="26">
        <v>1800</v>
      </c>
      <c r="B19" s="27" t="str">
        <f t="shared" si="0"/>
        <v>The value stored in this slot is 1800.</v>
      </c>
    </row>
    <row r="20" spans="1:2" x14ac:dyDescent="0.25">
      <c r="A20" s="24">
        <v>1900</v>
      </c>
      <c r="B20" s="25" t="str">
        <f t="shared" si="0"/>
        <v>The value stored in this slot is 1900.</v>
      </c>
    </row>
    <row r="21" spans="1:2" x14ac:dyDescent="0.25">
      <c r="A21" s="22">
        <v>2000</v>
      </c>
      <c r="B21" s="23" t="str">
        <f t="shared" si="0"/>
        <v>The value stored in this slot is 2000.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D23"/>
  <sheetViews>
    <sheetView workbookViewId="0"/>
  </sheetViews>
  <sheetFormatPr defaultRowHeight="14.25" x14ac:dyDescent="0.2"/>
  <cols>
    <col min="1" max="1" width="6.75" style="21" bestFit="1" customWidth="1"/>
    <col min="2" max="2" width="6.5" style="21" bestFit="1" customWidth="1"/>
    <col min="3" max="3" width="5.5" style="21" bestFit="1" customWidth="1"/>
    <col min="4" max="4" width="64" style="21" bestFit="1" customWidth="1"/>
    <col min="5" max="16384" width="9" style="21"/>
  </cols>
  <sheetData>
    <row r="1" spans="1:4" ht="18" x14ac:dyDescent="0.25">
      <c r="A1" s="2" t="s">
        <v>10</v>
      </c>
      <c r="B1" s="3" t="s">
        <v>55</v>
      </c>
      <c r="C1" s="3" t="s">
        <v>42</v>
      </c>
      <c r="D1" s="4" t="s">
        <v>43</v>
      </c>
    </row>
    <row r="2" spans="1:4" x14ac:dyDescent="0.2">
      <c r="A2" s="5">
        <v>1</v>
      </c>
      <c r="B2" s="37">
        <v>1</v>
      </c>
      <c r="C2" s="37">
        <v>1400</v>
      </c>
      <c r="D2" s="38" t="s">
        <v>56</v>
      </c>
    </row>
    <row r="3" spans="1:4" x14ac:dyDescent="0.2">
      <c r="A3" s="10">
        <v>2</v>
      </c>
      <c r="B3" s="39">
        <v>1</v>
      </c>
      <c r="C3" s="39">
        <v>2100</v>
      </c>
      <c r="D3" s="40" t="s">
        <v>57</v>
      </c>
    </row>
    <row r="4" spans="1:4" x14ac:dyDescent="0.2">
      <c r="A4" s="5">
        <v>3</v>
      </c>
      <c r="B4" s="37">
        <v>1</v>
      </c>
      <c r="C4" s="37">
        <v>50</v>
      </c>
      <c r="D4" s="38" t="s">
        <v>58</v>
      </c>
    </row>
    <row r="5" spans="1:4" x14ac:dyDescent="0.2">
      <c r="A5" s="10">
        <v>4</v>
      </c>
      <c r="B5" s="39">
        <v>1</v>
      </c>
      <c r="C5" s="39">
        <v>450</v>
      </c>
      <c r="D5" s="40" t="s">
        <v>59</v>
      </c>
    </row>
    <row r="6" spans="1:4" x14ac:dyDescent="0.2">
      <c r="A6" s="5">
        <v>5</v>
      </c>
      <c r="B6" s="37">
        <v>1</v>
      </c>
      <c r="C6" s="37">
        <v>250</v>
      </c>
      <c r="D6" s="38" t="s">
        <v>60</v>
      </c>
    </row>
    <row r="7" spans="1:4" x14ac:dyDescent="0.2">
      <c r="A7" s="10">
        <v>5</v>
      </c>
      <c r="B7" s="39">
        <v>2</v>
      </c>
      <c r="C7" s="39">
        <v>750</v>
      </c>
      <c r="D7" s="40" t="s">
        <v>61</v>
      </c>
    </row>
    <row r="8" spans="1:4" x14ac:dyDescent="0.2">
      <c r="A8" s="5">
        <v>6</v>
      </c>
      <c r="B8" s="37">
        <v>1</v>
      </c>
      <c r="C8" s="37">
        <v>950</v>
      </c>
      <c r="D8" s="38" t="s">
        <v>62</v>
      </c>
    </row>
    <row r="9" spans="1:4" x14ac:dyDescent="0.2">
      <c r="A9" s="10">
        <v>6</v>
      </c>
      <c r="B9" s="39">
        <f>+B8+1</f>
        <v>2</v>
      </c>
      <c r="C9" s="39">
        <v>1200</v>
      </c>
      <c r="D9" s="40" t="s">
        <v>63</v>
      </c>
    </row>
    <row r="10" spans="1:4" x14ac:dyDescent="0.2">
      <c r="A10" s="5">
        <v>7</v>
      </c>
      <c r="B10" s="37">
        <v>1</v>
      </c>
      <c r="C10" s="37">
        <v>25</v>
      </c>
      <c r="D10" s="38" t="s">
        <v>64</v>
      </c>
    </row>
    <row r="11" spans="1:4" x14ac:dyDescent="0.2">
      <c r="A11" s="10">
        <v>7</v>
      </c>
      <c r="B11" s="39">
        <f t="shared" ref="B11:B12" si="0">+B10+1</f>
        <v>2</v>
      </c>
      <c r="C11" s="39">
        <v>1550</v>
      </c>
      <c r="D11" s="40" t="s">
        <v>65</v>
      </c>
    </row>
    <row r="12" spans="1:4" x14ac:dyDescent="0.2">
      <c r="A12" s="5">
        <v>7</v>
      </c>
      <c r="B12" s="37">
        <f t="shared" si="0"/>
        <v>3</v>
      </c>
      <c r="C12" s="37">
        <v>2200</v>
      </c>
      <c r="D12" s="38" t="s">
        <v>66</v>
      </c>
    </row>
    <row r="13" spans="1:4" x14ac:dyDescent="0.2">
      <c r="A13" s="10">
        <v>8</v>
      </c>
      <c r="B13" s="39">
        <v>1</v>
      </c>
      <c r="C13" s="39">
        <v>10</v>
      </c>
      <c r="D13" s="40" t="s">
        <v>67</v>
      </c>
    </row>
    <row r="14" spans="1:4" x14ac:dyDescent="0.2">
      <c r="A14" s="5">
        <v>8</v>
      </c>
      <c r="B14" s="37">
        <f t="shared" ref="B14:B23" si="1">+B13+1</f>
        <v>2</v>
      </c>
      <c r="C14" s="37">
        <v>150</v>
      </c>
      <c r="D14" s="38" t="s">
        <v>68</v>
      </c>
    </row>
    <row r="15" spans="1:4" x14ac:dyDescent="0.2">
      <c r="A15" s="10">
        <v>8</v>
      </c>
      <c r="B15" s="39">
        <f t="shared" si="1"/>
        <v>3</v>
      </c>
      <c r="C15" s="39">
        <v>900</v>
      </c>
      <c r="D15" s="40" t="s">
        <v>69</v>
      </c>
    </row>
    <row r="16" spans="1:4" x14ac:dyDescent="0.2">
      <c r="A16" s="5">
        <v>8</v>
      </c>
      <c r="B16" s="37">
        <f t="shared" si="1"/>
        <v>4</v>
      </c>
      <c r="C16" s="37">
        <v>2100</v>
      </c>
      <c r="D16" s="38" t="s">
        <v>70</v>
      </c>
    </row>
    <row r="17" spans="1:4" x14ac:dyDescent="0.2">
      <c r="A17" s="10">
        <v>8</v>
      </c>
      <c r="B17" s="39">
        <f t="shared" si="1"/>
        <v>5</v>
      </c>
      <c r="C17" s="39">
        <v>2500</v>
      </c>
      <c r="D17" s="40" t="s">
        <v>71</v>
      </c>
    </row>
    <row r="18" spans="1:4" x14ac:dyDescent="0.2">
      <c r="A18" s="5">
        <v>9</v>
      </c>
      <c r="B18" s="37">
        <v>1</v>
      </c>
      <c r="C18" s="37">
        <v>2</v>
      </c>
      <c r="D18" s="38" t="s">
        <v>72</v>
      </c>
    </row>
    <row r="19" spans="1:4" x14ac:dyDescent="0.2">
      <c r="A19" s="10">
        <v>9</v>
      </c>
      <c r="B19" s="39">
        <f t="shared" si="1"/>
        <v>2</v>
      </c>
      <c r="C19" s="39">
        <v>4</v>
      </c>
      <c r="D19" s="40" t="s">
        <v>73</v>
      </c>
    </row>
    <row r="20" spans="1:4" x14ac:dyDescent="0.2">
      <c r="A20" s="5">
        <v>9</v>
      </c>
      <c r="B20" s="37">
        <f t="shared" si="1"/>
        <v>3</v>
      </c>
      <c r="C20" s="37">
        <v>6</v>
      </c>
      <c r="D20" s="38" t="s">
        <v>74</v>
      </c>
    </row>
    <row r="21" spans="1:4" x14ac:dyDescent="0.2">
      <c r="A21" s="10">
        <v>10</v>
      </c>
      <c r="B21" s="39">
        <v>1</v>
      </c>
      <c r="C21" s="39">
        <v>3000</v>
      </c>
      <c r="D21" s="40" t="s">
        <v>75</v>
      </c>
    </row>
    <row r="22" spans="1:4" x14ac:dyDescent="0.2">
      <c r="A22" s="5">
        <v>10</v>
      </c>
      <c r="B22" s="37">
        <f t="shared" si="1"/>
        <v>2</v>
      </c>
      <c r="C22" s="37">
        <v>4000</v>
      </c>
      <c r="D22" s="38" t="s">
        <v>76</v>
      </c>
    </row>
    <row r="23" spans="1:4" x14ac:dyDescent="0.2">
      <c r="A23" s="15">
        <v>10</v>
      </c>
      <c r="B23" s="35">
        <f t="shared" si="1"/>
        <v>3</v>
      </c>
      <c r="C23" s="35">
        <v>6000</v>
      </c>
      <c r="D23" s="36" t="s">
        <v>77</v>
      </c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E121"/>
  <sheetViews>
    <sheetView workbookViewId="0">
      <selection activeCell="B100" sqref="B100"/>
    </sheetView>
  </sheetViews>
  <sheetFormatPr defaultRowHeight="15" x14ac:dyDescent="0.25"/>
  <cols>
    <col min="1" max="1" width="15" bestFit="1" customWidth="1"/>
    <col min="2" max="2" width="37.75" bestFit="1" customWidth="1"/>
    <col min="3" max="3" width="17.125" bestFit="1" customWidth="1"/>
    <col min="4" max="4" width="5.875" bestFit="1" customWidth="1"/>
    <col min="5" max="5" width="11.375" bestFit="1" customWidth="1"/>
  </cols>
  <sheetData>
    <row r="1" spans="1:1" x14ac:dyDescent="0.25">
      <c r="A1" t="s">
        <v>85</v>
      </c>
    </row>
    <row r="2" spans="1:1" x14ac:dyDescent="0.25">
      <c r="A2" t="s">
        <v>86</v>
      </c>
    </row>
    <row r="4" spans="1:1" x14ac:dyDescent="0.25">
      <c r="A4" t="s">
        <v>87</v>
      </c>
    </row>
    <row r="6" spans="1:1" x14ac:dyDescent="0.25">
      <c r="A6" t="s">
        <v>88</v>
      </c>
    </row>
    <row r="8" spans="1:1" x14ac:dyDescent="0.25">
      <c r="A8" t="s">
        <v>89</v>
      </c>
    </row>
    <row r="10" spans="1:1" x14ac:dyDescent="0.25">
      <c r="A10" t="s">
        <v>90</v>
      </c>
    </row>
    <row r="11" spans="1:1" x14ac:dyDescent="0.25">
      <c r="A11" t="s">
        <v>91</v>
      </c>
    </row>
    <row r="12" spans="1:1" x14ac:dyDescent="0.25">
      <c r="A12" t="s">
        <v>92</v>
      </c>
    </row>
    <row r="13" spans="1:1" x14ac:dyDescent="0.25">
      <c r="A13" t="s">
        <v>93</v>
      </c>
    </row>
    <row r="14" spans="1:1" x14ac:dyDescent="0.25">
      <c r="A14" t="s">
        <v>94</v>
      </c>
    </row>
    <row r="15" spans="1:1" x14ac:dyDescent="0.25">
      <c r="A15" t="s">
        <v>95</v>
      </c>
    </row>
    <row r="17" spans="1:5" x14ac:dyDescent="0.25">
      <c r="A17" t="s">
        <v>96</v>
      </c>
    </row>
    <row r="20" spans="1:5" x14ac:dyDescent="0.25">
      <c r="A20" t="s">
        <v>97</v>
      </c>
    </row>
    <row r="23" spans="1:5" x14ac:dyDescent="0.25">
      <c r="A23" t="s">
        <v>98</v>
      </c>
    </row>
    <row r="25" spans="1:5" x14ac:dyDescent="0.25">
      <c r="A25" t="s">
        <v>89</v>
      </c>
    </row>
    <row r="27" spans="1:5" ht="15.75" x14ac:dyDescent="0.25">
      <c r="A27" s="48" t="s">
        <v>99</v>
      </c>
      <c r="B27" s="48" t="s">
        <v>100</v>
      </c>
      <c r="C27" s="48" t="s">
        <v>101</v>
      </c>
      <c r="D27" s="49" t="s">
        <v>82</v>
      </c>
      <c r="E27" s="48" t="s">
        <v>102</v>
      </c>
    </row>
    <row r="28" spans="1:5" x14ac:dyDescent="0.25">
      <c r="A28" t="s">
        <v>103</v>
      </c>
      <c r="B28" t="s">
        <v>81</v>
      </c>
      <c r="C28" s="46">
        <v>41234.506168981483</v>
      </c>
      <c r="D28">
        <v>893</v>
      </c>
      <c r="E28">
        <v>20</v>
      </c>
    </row>
    <row r="29" spans="1:5" x14ac:dyDescent="0.25">
      <c r="A29" t="s">
        <v>104</v>
      </c>
      <c r="B29" t="s">
        <v>105</v>
      </c>
      <c r="C29" s="46">
        <v>41234.511261574073</v>
      </c>
      <c r="D29">
        <v>92</v>
      </c>
      <c r="E29">
        <v>1</v>
      </c>
    </row>
    <row r="30" spans="1:5" x14ac:dyDescent="0.25">
      <c r="A30" t="s">
        <v>106</v>
      </c>
      <c r="B30" t="s">
        <v>107</v>
      </c>
      <c r="C30" s="46">
        <v>41236.021226851852</v>
      </c>
      <c r="D30">
        <v>929</v>
      </c>
      <c r="E30">
        <v>20</v>
      </c>
    </row>
    <row r="32" spans="1:5" x14ac:dyDescent="0.25">
      <c r="A32" t="s">
        <v>96</v>
      </c>
    </row>
    <row r="34" spans="1:5" x14ac:dyDescent="0.25">
      <c r="A34" t="s">
        <v>108</v>
      </c>
    </row>
    <row r="36" spans="1:5" ht="15.75" x14ac:dyDescent="0.25">
      <c r="A36" s="48" t="s">
        <v>99</v>
      </c>
      <c r="B36" s="48" t="s">
        <v>100</v>
      </c>
      <c r="C36" s="48" t="s">
        <v>101</v>
      </c>
      <c r="D36" s="49" t="s">
        <v>82</v>
      </c>
      <c r="E36" s="48" t="s">
        <v>102</v>
      </c>
    </row>
    <row r="37" spans="1:5" x14ac:dyDescent="0.25">
      <c r="A37" t="s">
        <v>103</v>
      </c>
      <c r="B37" t="s">
        <v>107</v>
      </c>
      <c r="C37" s="46">
        <v>41236.021226851852</v>
      </c>
      <c r="D37">
        <v>929</v>
      </c>
      <c r="E37">
        <v>20</v>
      </c>
    </row>
    <row r="38" spans="1:5" x14ac:dyDescent="0.25">
      <c r="A38" t="s">
        <v>104</v>
      </c>
      <c r="B38" t="s">
        <v>109</v>
      </c>
      <c r="C38" s="46">
        <v>41234.513159722221</v>
      </c>
      <c r="D38">
        <v>56</v>
      </c>
      <c r="E38">
        <v>1</v>
      </c>
    </row>
    <row r="39" spans="1:5" x14ac:dyDescent="0.25">
      <c r="A39" t="s">
        <v>106</v>
      </c>
      <c r="B39" t="s">
        <v>110</v>
      </c>
      <c r="C39" s="46">
        <v>41236.021226851852</v>
      </c>
      <c r="D39">
        <v>974</v>
      </c>
      <c r="E39">
        <v>21</v>
      </c>
    </row>
    <row r="41" spans="1:5" x14ac:dyDescent="0.25">
      <c r="A41" t="s">
        <v>111</v>
      </c>
    </row>
    <row r="43" spans="1:5" x14ac:dyDescent="0.25">
      <c r="A43" t="s">
        <v>112</v>
      </c>
    </row>
    <row r="45" spans="1:5" ht="15.75" x14ac:dyDescent="0.25">
      <c r="A45" s="48" t="s">
        <v>99</v>
      </c>
      <c r="B45" s="48" t="s">
        <v>100</v>
      </c>
      <c r="C45" s="48" t="s">
        <v>101</v>
      </c>
      <c r="D45" s="49" t="s">
        <v>82</v>
      </c>
      <c r="E45" s="48" t="s">
        <v>102</v>
      </c>
    </row>
    <row r="46" spans="1:5" x14ac:dyDescent="0.25">
      <c r="A46" t="s">
        <v>103</v>
      </c>
      <c r="B46" t="s">
        <v>110</v>
      </c>
      <c r="C46" s="46">
        <v>41236.021226851852</v>
      </c>
      <c r="D46">
        <v>974</v>
      </c>
      <c r="E46">
        <v>21</v>
      </c>
    </row>
    <row r="47" spans="1:5" x14ac:dyDescent="0.25">
      <c r="A47" t="s">
        <v>104</v>
      </c>
      <c r="B47" t="s">
        <v>113</v>
      </c>
      <c r="C47" s="46">
        <v>41234.517094907409</v>
      </c>
      <c r="D47">
        <v>52</v>
      </c>
      <c r="E47">
        <v>1</v>
      </c>
    </row>
    <row r="48" spans="1:5" x14ac:dyDescent="0.25">
      <c r="A48" t="s">
        <v>106</v>
      </c>
      <c r="B48" t="s">
        <v>114</v>
      </c>
      <c r="C48" s="46">
        <v>41236.021226851852</v>
      </c>
      <c r="D48" s="47">
        <v>1015</v>
      </c>
      <c r="E48">
        <v>22</v>
      </c>
    </row>
    <row r="50" spans="1:5" x14ac:dyDescent="0.25">
      <c r="A50" t="s">
        <v>115</v>
      </c>
    </row>
    <row r="52" spans="1:5" x14ac:dyDescent="0.25">
      <c r="A52" t="s">
        <v>116</v>
      </c>
    </row>
    <row r="54" spans="1:5" ht="15.75" x14ac:dyDescent="0.25">
      <c r="A54" s="48" t="s">
        <v>99</v>
      </c>
      <c r="B54" s="48" t="s">
        <v>100</v>
      </c>
      <c r="C54" s="48" t="s">
        <v>101</v>
      </c>
      <c r="D54" s="49" t="s">
        <v>82</v>
      </c>
      <c r="E54" s="48" t="s">
        <v>102</v>
      </c>
    </row>
    <row r="55" spans="1:5" x14ac:dyDescent="0.25">
      <c r="A55" t="s">
        <v>103</v>
      </c>
      <c r="B55" t="s">
        <v>114</v>
      </c>
      <c r="C55" s="46">
        <v>41236.021226851852</v>
      </c>
      <c r="D55" s="47">
        <v>1015</v>
      </c>
      <c r="E55">
        <v>22</v>
      </c>
    </row>
    <row r="56" spans="1:5" x14ac:dyDescent="0.25">
      <c r="A56" t="s">
        <v>104</v>
      </c>
      <c r="B56" t="s">
        <v>117</v>
      </c>
      <c r="C56" s="46">
        <v>41234.518425925926</v>
      </c>
      <c r="D56">
        <v>54</v>
      </c>
      <c r="E56">
        <v>1</v>
      </c>
    </row>
    <row r="57" spans="1:5" x14ac:dyDescent="0.25">
      <c r="A57" t="s">
        <v>106</v>
      </c>
      <c r="B57" t="s">
        <v>118</v>
      </c>
      <c r="C57" s="46">
        <v>41236.021226851852</v>
      </c>
      <c r="D57" s="47">
        <v>1058</v>
      </c>
      <c r="E57">
        <v>23</v>
      </c>
    </row>
    <row r="59" spans="1:5" x14ac:dyDescent="0.25">
      <c r="A59" t="s">
        <v>119</v>
      </c>
    </row>
    <row r="61" spans="1:5" x14ac:dyDescent="0.25">
      <c r="A61" t="s">
        <v>120</v>
      </c>
    </row>
    <row r="63" spans="1:5" ht="15.75" x14ac:dyDescent="0.25">
      <c r="A63" s="48" t="s">
        <v>99</v>
      </c>
      <c r="B63" s="48" t="s">
        <v>100</v>
      </c>
      <c r="C63" s="48" t="s">
        <v>101</v>
      </c>
      <c r="D63" s="49" t="s">
        <v>82</v>
      </c>
      <c r="E63" s="48" t="s">
        <v>102</v>
      </c>
    </row>
    <row r="64" spans="1:5" x14ac:dyDescent="0.25">
      <c r="A64" t="s">
        <v>103</v>
      </c>
      <c r="B64" t="s">
        <v>118</v>
      </c>
      <c r="C64" s="46">
        <v>41236.021226851852</v>
      </c>
      <c r="D64" s="47">
        <v>1058</v>
      </c>
      <c r="E64">
        <v>23</v>
      </c>
    </row>
    <row r="65" spans="1:5" x14ac:dyDescent="0.25">
      <c r="A65" t="s">
        <v>104</v>
      </c>
      <c r="B65" t="s">
        <v>121</v>
      </c>
      <c r="C65" s="46">
        <v>41234.519224537034</v>
      </c>
      <c r="D65">
        <v>97</v>
      </c>
      <c r="E65">
        <v>2</v>
      </c>
    </row>
    <row r="66" spans="1:5" x14ac:dyDescent="0.25">
      <c r="A66" t="s">
        <v>106</v>
      </c>
      <c r="B66" t="s">
        <v>122</v>
      </c>
      <c r="C66" s="46">
        <v>41236.021226851852</v>
      </c>
      <c r="D66" s="47">
        <v>1144</v>
      </c>
      <c r="E66">
        <v>25</v>
      </c>
    </row>
    <row r="68" spans="1:5" x14ac:dyDescent="0.25">
      <c r="A68" t="s">
        <v>123</v>
      </c>
    </row>
    <row r="70" spans="1:5" x14ac:dyDescent="0.25">
      <c r="A70" t="s">
        <v>124</v>
      </c>
    </row>
    <row r="72" spans="1:5" ht="15.75" x14ac:dyDescent="0.25">
      <c r="A72" s="48" t="s">
        <v>99</v>
      </c>
      <c r="B72" s="48" t="s">
        <v>100</v>
      </c>
      <c r="C72" s="48" t="s">
        <v>101</v>
      </c>
      <c r="D72" s="49" t="s">
        <v>82</v>
      </c>
      <c r="E72" s="48" t="s">
        <v>102</v>
      </c>
    </row>
    <row r="73" spans="1:5" x14ac:dyDescent="0.25">
      <c r="A73" t="s">
        <v>103</v>
      </c>
      <c r="B73" t="s">
        <v>122</v>
      </c>
      <c r="C73" s="46">
        <v>41236.021226851852</v>
      </c>
      <c r="D73" s="47">
        <v>1144</v>
      </c>
      <c r="E73">
        <v>25</v>
      </c>
    </row>
    <row r="74" spans="1:5" x14ac:dyDescent="0.25">
      <c r="A74" t="s">
        <v>104</v>
      </c>
      <c r="B74" t="s">
        <v>125</v>
      </c>
      <c r="C74" s="46">
        <v>41234.52207175926</v>
      </c>
      <c r="D74">
        <v>131</v>
      </c>
      <c r="E74">
        <v>2</v>
      </c>
    </row>
    <row r="75" spans="1:5" x14ac:dyDescent="0.25">
      <c r="A75" t="s">
        <v>106</v>
      </c>
      <c r="B75" t="s">
        <v>126</v>
      </c>
      <c r="C75" s="46">
        <v>41236.021226851852</v>
      </c>
      <c r="D75" s="47">
        <v>1219</v>
      </c>
      <c r="E75">
        <v>26</v>
      </c>
    </row>
    <row r="77" spans="1:5" x14ac:dyDescent="0.25">
      <c r="A77" t="s">
        <v>127</v>
      </c>
    </row>
    <row r="79" spans="1:5" x14ac:dyDescent="0.25">
      <c r="A79" t="s">
        <v>128</v>
      </c>
    </row>
    <row r="81" spans="1:5" ht="15.75" x14ac:dyDescent="0.25">
      <c r="A81" s="48" t="s">
        <v>99</v>
      </c>
      <c r="B81" s="48" t="s">
        <v>100</v>
      </c>
      <c r="C81" s="48" t="s">
        <v>101</v>
      </c>
      <c r="D81" s="49" t="s">
        <v>82</v>
      </c>
      <c r="E81" s="48" t="s">
        <v>102</v>
      </c>
    </row>
    <row r="82" spans="1:5" x14ac:dyDescent="0.25">
      <c r="A82" t="s">
        <v>103</v>
      </c>
      <c r="B82" t="s">
        <v>126</v>
      </c>
      <c r="C82" s="46">
        <v>41236.021226851852</v>
      </c>
      <c r="D82" s="47">
        <v>1219</v>
      </c>
      <c r="E82">
        <v>26</v>
      </c>
    </row>
    <row r="83" spans="1:5" x14ac:dyDescent="0.25">
      <c r="A83" t="s">
        <v>104</v>
      </c>
      <c r="B83" t="s">
        <v>129</v>
      </c>
      <c r="C83" s="46">
        <v>41234.526145833333</v>
      </c>
      <c r="D83">
        <v>142</v>
      </c>
      <c r="E83">
        <v>3</v>
      </c>
    </row>
    <row r="84" spans="1:5" x14ac:dyDescent="0.25">
      <c r="A84" t="s">
        <v>106</v>
      </c>
      <c r="B84" t="s">
        <v>130</v>
      </c>
      <c r="C84" s="46">
        <v>41236.021226851852</v>
      </c>
      <c r="D84" s="47">
        <v>1350</v>
      </c>
      <c r="E84">
        <v>29</v>
      </c>
    </row>
    <row r="86" spans="1:5" x14ac:dyDescent="0.25">
      <c r="A86" t="s">
        <v>131</v>
      </c>
    </row>
    <row r="88" spans="1:5" x14ac:dyDescent="0.25">
      <c r="A88" t="s">
        <v>132</v>
      </c>
    </row>
    <row r="90" spans="1:5" ht="15.75" x14ac:dyDescent="0.25">
      <c r="A90" s="48" t="s">
        <v>99</v>
      </c>
      <c r="B90" s="48" t="s">
        <v>100</v>
      </c>
      <c r="C90" s="48" t="s">
        <v>101</v>
      </c>
      <c r="D90" s="49" t="s">
        <v>82</v>
      </c>
      <c r="E90" s="48" t="s">
        <v>102</v>
      </c>
    </row>
    <row r="91" spans="1:5" x14ac:dyDescent="0.25">
      <c r="A91" t="s">
        <v>103</v>
      </c>
      <c r="B91" t="s">
        <v>130</v>
      </c>
      <c r="C91" s="46">
        <v>41236.021226851852</v>
      </c>
      <c r="D91" s="47">
        <v>1350</v>
      </c>
      <c r="E91">
        <v>29</v>
      </c>
    </row>
    <row r="92" spans="1:5" x14ac:dyDescent="0.25">
      <c r="A92" t="s">
        <v>104</v>
      </c>
      <c r="B92" t="s">
        <v>133</v>
      </c>
      <c r="C92" s="46">
        <v>41234.530763888892</v>
      </c>
      <c r="D92">
        <v>282</v>
      </c>
      <c r="E92">
        <v>5</v>
      </c>
    </row>
    <row r="93" spans="1:5" x14ac:dyDescent="0.25">
      <c r="A93" t="s">
        <v>106</v>
      </c>
      <c r="B93" t="s">
        <v>134</v>
      </c>
      <c r="C93" s="46">
        <v>41236.021226851852</v>
      </c>
      <c r="D93" s="47">
        <v>1533</v>
      </c>
      <c r="E93">
        <v>32</v>
      </c>
    </row>
    <row r="95" spans="1:5" x14ac:dyDescent="0.25">
      <c r="A95" t="s">
        <v>135</v>
      </c>
    </row>
    <row r="97" spans="1:5" x14ac:dyDescent="0.25">
      <c r="A97" t="s">
        <v>136</v>
      </c>
    </row>
    <row r="99" spans="1:5" ht="15.75" x14ac:dyDescent="0.25">
      <c r="A99" s="48" t="s">
        <v>99</v>
      </c>
      <c r="B99" s="48" t="s">
        <v>100</v>
      </c>
      <c r="C99" s="48" t="s">
        <v>101</v>
      </c>
      <c r="D99" s="49" t="s">
        <v>82</v>
      </c>
      <c r="E99" s="48" t="s">
        <v>102</v>
      </c>
    </row>
    <row r="100" spans="1:5" x14ac:dyDescent="0.25">
      <c r="A100" t="s">
        <v>103</v>
      </c>
      <c r="B100" t="s">
        <v>134</v>
      </c>
      <c r="C100" s="46">
        <v>41236.021226851852</v>
      </c>
      <c r="D100" s="47">
        <v>1533</v>
      </c>
      <c r="E100">
        <v>32</v>
      </c>
    </row>
    <row r="101" spans="1:5" x14ac:dyDescent="0.25">
      <c r="A101" t="s">
        <v>104</v>
      </c>
      <c r="B101" t="s">
        <v>137</v>
      </c>
      <c r="C101" s="46">
        <v>41234.533472222225</v>
      </c>
      <c r="D101">
        <v>128</v>
      </c>
      <c r="E101">
        <v>3</v>
      </c>
    </row>
    <row r="102" spans="1:5" x14ac:dyDescent="0.25">
      <c r="A102" t="s">
        <v>106</v>
      </c>
      <c r="B102" t="s">
        <v>138</v>
      </c>
      <c r="C102" s="46">
        <v>41236.021226851852</v>
      </c>
      <c r="D102" s="47">
        <v>1650</v>
      </c>
      <c r="E102">
        <v>35</v>
      </c>
    </row>
    <row r="104" spans="1:5" x14ac:dyDescent="0.25">
      <c r="A104" t="s">
        <v>139</v>
      </c>
    </row>
    <row r="106" spans="1:5" x14ac:dyDescent="0.25">
      <c r="A106" t="s">
        <v>140</v>
      </c>
    </row>
    <row r="108" spans="1:5" ht="15.75" x14ac:dyDescent="0.25">
      <c r="A108" s="48" t="s">
        <v>99</v>
      </c>
      <c r="B108" s="48" t="s">
        <v>100</v>
      </c>
      <c r="C108" s="48" t="s">
        <v>101</v>
      </c>
      <c r="D108" s="49" t="s">
        <v>82</v>
      </c>
      <c r="E108" s="48" t="s">
        <v>102</v>
      </c>
    </row>
    <row r="109" spans="1:5" x14ac:dyDescent="0.25">
      <c r="A109" t="s">
        <v>103</v>
      </c>
      <c r="B109" t="s">
        <v>138</v>
      </c>
      <c r="C109" s="46">
        <v>41236.021226851852</v>
      </c>
      <c r="D109" s="47">
        <v>1650</v>
      </c>
      <c r="E109">
        <v>35</v>
      </c>
    </row>
    <row r="110" spans="1:5" x14ac:dyDescent="0.25">
      <c r="A110" t="s">
        <v>104</v>
      </c>
      <c r="B110" t="s">
        <v>141</v>
      </c>
      <c r="C110" s="46">
        <v>41234.533935185187</v>
      </c>
      <c r="D110">
        <v>146</v>
      </c>
      <c r="E110">
        <v>3</v>
      </c>
    </row>
    <row r="111" spans="1:5" x14ac:dyDescent="0.25">
      <c r="A111" t="s">
        <v>106</v>
      </c>
      <c r="B111" t="s">
        <v>142</v>
      </c>
      <c r="C111" s="46">
        <v>41236.021226851852</v>
      </c>
      <c r="D111" s="47">
        <v>1785</v>
      </c>
      <c r="E111">
        <v>38</v>
      </c>
    </row>
    <row r="113" spans="1:1" x14ac:dyDescent="0.25">
      <c r="A113" t="s">
        <v>143</v>
      </c>
    </row>
    <row r="116" spans="1:1" x14ac:dyDescent="0.25">
      <c r="A116" t="s">
        <v>144</v>
      </c>
    </row>
    <row r="119" spans="1:1" x14ac:dyDescent="0.25">
      <c r="A119" t="s">
        <v>145</v>
      </c>
    </row>
    <row r="120" spans="1:1" x14ac:dyDescent="0.25">
      <c r="A120" t="s">
        <v>146</v>
      </c>
    </row>
    <row r="121" spans="1:1" x14ac:dyDescent="0.25">
      <c r="A121" t="s">
        <v>147</v>
      </c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E31"/>
  <sheetViews>
    <sheetView workbookViewId="0">
      <pane xSplit="1" ySplit="1" topLeftCell="B1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5" style="45" bestFit="1" customWidth="1"/>
    <col min="2" max="2" width="37.75" style="45" bestFit="1" customWidth="1"/>
    <col min="3" max="3" width="20.125" style="45" bestFit="1" customWidth="1"/>
    <col min="4" max="4" width="5.875" style="45" bestFit="1" customWidth="1"/>
    <col min="5" max="5" width="11.375" style="45" bestFit="1" customWidth="1"/>
    <col min="6" max="16384" width="9" style="45"/>
  </cols>
  <sheetData>
    <row r="1" spans="1:5" ht="15.75" x14ac:dyDescent="0.25">
      <c r="A1" s="55" t="s">
        <v>99</v>
      </c>
      <c r="B1" s="56" t="s">
        <v>100</v>
      </c>
      <c r="C1" s="56" t="s">
        <v>101</v>
      </c>
      <c r="D1" s="56" t="s">
        <v>82</v>
      </c>
      <c r="E1" s="57" t="s">
        <v>102</v>
      </c>
    </row>
    <row r="2" spans="1:5" x14ac:dyDescent="0.25">
      <c r="A2" s="24" t="s">
        <v>103</v>
      </c>
      <c r="B2" s="58" t="s">
        <v>81</v>
      </c>
      <c r="C2" s="59">
        <v>41234.506168981483</v>
      </c>
      <c r="D2" s="58">
        <v>893</v>
      </c>
      <c r="E2" s="25">
        <v>20</v>
      </c>
    </row>
    <row r="3" spans="1:5" x14ac:dyDescent="0.25">
      <c r="A3" s="26" t="s">
        <v>104</v>
      </c>
      <c r="B3" s="60" t="s">
        <v>105</v>
      </c>
      <c r="C3" s="61">
        <v>41234.511261574073</v>
      </c>
      <c r="D3" s="60">
        <v>92</v>
      </c>
      <c r="E3" s="27">
        <v>1</v>
      </c>
    </row>
    <row r="4" spans="1:5" x14ac:dyDescent="0.25">
      <c r="A4" s="24" t="s">
        <v>106</v>
      </c>
      <c r="B4" s="58" t="s">
        <v>107</v>
      </c>
      <c r="C4" s="59">
        <v>41279.702152777776</v>
      </c>
      <c r="D4" s="58">
        <v>929</v>
      </c>
      <c r="E4" s="25">
        <v>20</v>
      </c>
    </row>
    <row r="5" spans="1:5" x14ac:dyDescent="0.25">
      <c r="A5" s="26" t="s">
        <v>103</v>
      </c>
      <c r="B5" s="60" t="s">
        <v>107</v>
      </c>
      <c r="C5" s="61">
        <v>41279.702152777776</v>
      </c>
      <c r="D5" s="60">
        <v>929</v>
      </c>
      <c r="E5" s="27">
        <v>20</v>
      </c>
    </row>
    <row r="6" spans="1:5" x14ac:dyDescent="0.25">
      <c r="A6" s="24" t="s">
        <v>104</v>
      </c>
      <c r="B6" s="58" t="s">
        <v>109</v>
      </c>
      <c r="C6" s="59">
        <v>41234.513159722221</v>
      </c>
      <c r="D6" s="58">
        <v>56</v>
      </c>
      <c r="E6" s="25">
        <v>1</v>
      </c>
    </row>
    <row r="7" spans="1:5" x14ac:dyDescent="0.25">
      <c r="A7" s="26" t="s">
        <v>106</v>
      </c>
      <c r="B7" s="60" t="s">
        <v>110</v>
      </c>
      <c r="C7" s="61">
        <v>41279.702152777776</v>
      </c>
      <c r="D7" s="60">
        <v>974</v>
      </c>
      <c r="E7" s="27">
        <v>21</v>
      </c>
    </row>
    <row r="8" spans="1:5" x14ac:dyDescent="0.25">
      <c r="A8" s="24" t="s">
        <v>103</v>
      </c>
      <c r="B8" s="58" t="s">
        <v>110</v>
      </c>
      <c r="C8" s="59">
        <v>41279.702152777776</v>
      </c>
      <c r="D8" s="58">
        <v>974</v>
      </c>
      <c r="E8" s="25">
        <v>21</v>
      </c>
    </row>
    <row r="9" spans="1:5" x14ac:dyDescent="0.25">
      <c r="A9" s="26" t="s">
        <v>104</v>
      </c>
      <c r="B9" s="60" t="s">
        <v>113</v>
      </c>
      <c r="C9" s="61">
        <v>41234.517094907409</v>
      </c>
      <c r="D9" s="60">
        <v>52</v>
      </c>
      <c r="E9" s="27">
        <v>1</v>
      </c>
    </row>
    <row r="10" spans="1:5" x14ac:dyDescent="0.25">
      <c r="A10" s="24" t="s">
        <v>106</v>
      </c>
      <c r="B10" s="58" t="s">
        <v>114</v>
      </c>
      <c r="C10" s="59">
        <v>41279.702152777776</v>
      </c>
      <c r="D10" s="62">
        <v>1015</v>
      </c>
      <c r="E10" s="25">
        <v>22</v>
      </c>
    </row>
    <row r="11" spans="1:5" x14ac:dyDescent="0.25">
      <c r="A11" s="26" t="s">
        <v>103</v>
      </c>
      <c r="B11" s="60" t="s">
        <v>114</v>
      </c>
      <c r="C11" s="61">
        <v>41279.702152777776</v>
      </c>
      <c r="D11" s="63">
        <v>1015</v>
      </c>
      <c r="E11" s="27">
        <v>22</v>
      </c>
    </row>
    <row r="12" spans="1:5" x14ac:dyDescent="0.25">
      <c r="A12" s="24" t="s">
        <v>104</v>
      </c>
      <c r="B12" s="58" t="s">
        <v>117</v>
      </c>
      <c r="C12" s="59">
        <v>41234.518425925926</v>
      </c>
      <c r="D12" s="58">
        <v>54</v>
      </c>
      <c r="E12" s="25">
        <v>1</v>
      </c>
    </row>
    <row r="13" spans="1:5" x14ac:dyDescent="0.25">
      <c r="A13" s="26" t="s">
        <v>106</v>
      </c>
      <c r="B13" s="60" t="s">
        <v>118</v>
      </c>
      <c r="C13" s="61">
        <v>41279.702152777776</v>
      </c>
      <c r="D13" s="63">
        <v>1058</v>
      </c>
      <c r="E13" s="27">
        <v>23</v>
      </c>
    </row>
    <row r="14" spans="1:5" x14ac:dyDescent="0.25">
      <c r="A14" s="24" t="s">
        <v>103</v>
      </c>
      <c r="B14" s="58" t="s">
        <v>118</v>
      </c>
      <c r="C14" s="59">
        <v>41279.702152777776</v>
      </c>
      <c r="D14" s="62">
        <v>1058</v>
      </c>
      <c r="E14" s="25">
        <v>23</v>
      </c>
    </row>
    <row r="15" spans="1:5" x14ac:dyDescent="0.25">
      <c r="A15" s="26" t="s">
        <v>104</v>
      </c>
      <c r="B15" s="60" t="s">
        <v>121</v>
      </c>
      <c r="C15" s="61">
        <v>41234.519224537034</v>
      </c>
      <c r="D15" s="60">
        <v>97</v>
      </c>
      <c r="E15" s="27">
        <v>2</v>
      </c>
    </row>
    <row r="16" spans="1:5" x14ac:dyDescent="0.25">
      <c r="A16" s="24" t="s">
        <v>106</v>
      </c>
      <c r="B16" s="58" t="s">
        <v>122</v>
      </c>
      <c r="C16" s="59">
        <v>41279.702152777776</v>
      </c>
      <c r="D16" s="62">
        <v>1144</v>
      </c>
      <c r="E16" s="25">
        <v>25</v>
      </c>
    </row>
    <row r="17" spans="1:5" x14ac:dyDescent="0.25">
      <c r="A17" s="26" t="s">
        <v>103</v>
      </c>
      <c r="B17" s="60" t="s">
        <v>122</v>
      </c>
      <c r="C17" s="61">
        <v>41279.702152777776</v>
      </c>
      <c r="D17" s="63">
        <v>1144</v>
      </c>
      <c r="E17" s="27">
        <v>25</v>
      </c>
    </row>
    <row r="18" spans="1:5" x14ac:dyDescent="0.25">
      <c r="A18" s="24" t="s">
        <v>104</v>
      </c>
      <c r="B18" s="58" t="s">
        <v>125</v>
      </c>
      <c r="C18" s="59">
        <v>41234.52207175926</v>
      </c>
      <c r="D18" s="58">
        <v>131</v>
      </c>
      <c r="E18" s="25">
        <v>2</v>
      </c>
    </row>
    <row r="19" spans="1:5" x14ac:dyDescent="0.25">
      <c r="A19" s="26" t="s">
        <v>106</v>
      </c>
      <c r="B19" s="60" t="s">
        <v>126</v>
      </c>
      <c r="C19" s="61">
        <v>41279.702152777776</v>
      </c>
      <c r="D19" s="63">
        <v>1219</v>
      </c>
      <c r="E19" s="27">
        <v>26</v>
      </c>
    </row>
    <row r="20" spans="1:5" x14ac:dyDescent="0.25">
      <c r="A20" s="24" t="s">
        <v>103</v>
      </c>
      <c r="B20" s="58" t="s">
        <v>126</v>
      </c>
      <c r="C20" s="59">
        <v>41279.702152777776</v>
      </c>
      <c r="D20" s="62">
        <v>1219</v>
      </c>
      <c r="E20" s="25">
        <v>26</v>
      </c>
    </row>
    <row r="21" spans="1:5" x14ac:dyDescent="0.25">
      <c r="A21" s="26" t="s">
        <v>104</v>
      </c>
      <c r="B21" s="60" t="s">
        <v>129</v>
      </c>
      <c r="C21" s="61">
        <v>41234.526145833333</v>
      </c>
      <c r="D21" s="60">
        <v>142</v>
      </c>
      <c r="E21" s="27">
        <v>3</v>
      </c>
    </row>
    <row r="22" spans="1:5" x14ac:dyDescent="0.25">
      <c r="A22" s="24" t="s">
        <v>106</v>
      </c>
      <c r="B22" s="58" t="s">
        <v>130</v>
      </c>
      <c r="C22" s="59">
        <v>41279.702152777776</v>
      </c>
      <c r="D22" s="62">
        <v>1350</v>
      </c>
      <c r="E22" s="25">
        <v>29</v>
      </c>
    </row>
    <row r="23" spans="1:5" x14ac:dyDescent="0.25">
      <c r="A23" s="26" t="s">
        <v>103</v>
      </c>
      <c r="B23" s="60" t="s">
        <v>130</v>
      </c>
      <c r="C23" s="61">
        <v>41279.702152777776</v>
      </c>
      <c r="D23" s="63">
        <v>1350</v>
      </c>
      <c r="E23" s="27">
        <v>29</v>
      </c>
    </row>
    <row r="24" spans="1:5" x14ac:dyDescent="0.25">
      <c r="A24" s="24" t="s">
        <v>104</v>
      </c>
      <c r="B24" s="58" t="s">
        <v>133</v>
      </c>
      <c r="C24" s="59">
        <v>41234.530763888892</v>
      </c>
      <c r="D24" s="58">
        <v>282</v>
      </c>
      <c r="E24" s="25">
        <v>5</v>
      </c>
    </row>
    <row r="25" spans="1:5" x14ac:dyDescent="0.25">
      <c r="A25" s="26" t="s">
        <v>106</v>
      </c>
      <c r="B25" s="60" t="s">
        <v>134</v>
      </c>
      <c r="C25" s="61">
        <v>41279.702152777776</v>
      </c>
      <c r="D25" s="63">
        <v>1533</v>
      </c>
      <c r="E25" s="27">
        <v>32</v>
      </c>
    </row>
    <row r="26" spans="1:5" x14ac:dyDescent="0.25">
      <c r="A26" s="24" t="s">
        <v>103</v>
      </c>
      <c r="B26" s="58" t="s">
        <v>134</v>
      </c>
      <c r="C26" s="59">
        <v>41279.702152777776</v>
      </c>
      <c r="D26" s="62">
        <v>1533</v>
      </c>
      <c r="E26" s="25">
        <v>32</v>
      </c>
    </row>
    <row r="27" spans="1:5" x14ac:dyDescent="0.25">
      <c r="A27" s="26" t="s">
        <v>104</v>
      </c>
      <c r="B27" s="60" t="s">
        <v>137</v>
      </c>
      <c r="C27" s="61">
        <v>41234.533472222225</v>
      </c>
      <c r="D27" s="60">
        <v>128</v>
      </c>
      <c r="E27" s="27">
        <v>3</v>
      </c>
    </row>
    <row r="28" spans="1:5" x14ac:dyDescent="0.25">
      <c r="A28" s="24" t="s">
        <v>106</v>
      </c>
      <c r="B28" s="58" t="s">
        <v>138</v>
      </c>
      <c r="C28" s="59">
        <v>41279.702152777776</v>
      </c>
      <c r="D28" s="62">
        <v>1650</v>
      </c>
      <c r="E28" s="25">
        <v>35</v>
      </c>
    </row>
    <row r="29" spans="1:5" x14ac:dyDescent="0.25">
      <c r="A29" s="26" t="s">
        <v>103</v>
      </c>
      <c r="B29" s="60" t="s">
        <v>138</v>
      </c>
      <c r="C29" s="61">
        <v>41279.702152777776</v>
      </c>
      <c r="D29" s="63">
        <v>1650</v>
      </c>
      <c r="E29" s="27">
        <v>35</v>
      </c>
    </row>
    <row r="30" spans="1:5" x14ac:dyDescent="0.25">
      <c r="A30" s="24" t="s">
        <v>104</v>
      </c>
      <c r="B30" s="58" t="s">
        <v>141</v>
      </c>
      <c r="C30" s="59">
        <v>41234.533935185187</v>
      </c>
      <c r="D30" s="58">
        <v>146</v>
      </c>
      <c r="E30" s="25">
        <v>3</v>
      </c>
    </row>
    <row r="31" spans="1:5" x14ac:dyDescent="0.25">
      <c r="A31" s="22" t="s">
        <v>106</v>
      </c>
      <c r="B31" s="52" t="s">
        <v>142</v>
      </c>
      <c r="C31" s="53">
        <v>41279.702152777776</v>
      </c>
      <c r="D31" s="54">
        <v>1785</v>
      </c>
      <c r="E31" s="23">
        <v>38</v>
      </c>
    </row>
  </sheetData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L7"/>
  <sheetViews>
    <sheetView workbookViewId="0"/>
  </sheetViews>
  <sheetFormatPr defaultRowHeight="15" x14ac:dyDescent="0.25"/>
  <cols>
    <col min="1" max="1" width="86.375" bestFit="1" customWidth="1"/>
    <col min="2" max="2" width="12" bestFit="1" customWidth="1"/>
    <col min="3" max="3" width="10.625" bestFit="1" customWidth="1"/>
    <col min="4" max="4" width="12" bestFit="1" customWidth="1"/>
    <col min="5" max="5" width="10.625" bestFit="1" customWidth="1"/>
    <col min="6" max="6" width="28.375" bestFit="1" customWidth="1"/>
    <col min="7" max="7" width="23.25" bestFit="1" customWidth="1"/>
    <col min="8" max="8" width="29.5" bestFit="1" customWidth="1"/>
    <col min="9" max="9" width="30.5" bestFit="1" customWidth="1"/>
    <col min="11" max="11" width="43.875" bestFit="1" customWidth="1"/>
    <col min="12" max="12" width="67.625" bestFit="1" customWidth="1"/>
  </cols>
  <sheetData>
    <row r="1" spans="1:12" s="64" customFormat="1" x14ac:dyDescent="0.25">
      <c r="A1" s="86"/>
      <c r="B1" s="87"/>
      <c r="C1" s="87"/>
      <c r="D1" s="89" t="s">
        <v>176</v>
      </c>
      <c r="E1" s="89" t="s">
        <v>177</v>
      </c>
      <c r="F1" s="87"/>
      <c r="G1" s="87"/>
      <c r="H1" s="89" t="s">
        <v>179</v>
      </c>
      <c r="I1" s="87" t="s">
        <v>182</v>
      </c>
      <c r="J1" s="87" t="s">
        <v>181</v>
      </c>
      <c r="K1" s="87"/>
      <c r="L1" s="87" t="s">
        <v>184</v>
      </c>
    </row>
    <row r="2" spans="1:12" s="64" customFormat="1" ht="18" x14ac:dyDescent="0.25">
      <c r="A2" s="147" t="s">
        <v>171</v>
      </c>
      <c r="B2" s="144" t="s">
        <v>172</v>
      </c>
      <c r="C2" s="146"/>
      <c r="D2" s="144" t="s">
        <v>175</v>
      </c>
      <c r="E2" s="146"/>
      <c r="F2" s="144" t="s">
        <v>178</v>
      </c>
      <c r="G2" s="146"/>
      <c r="H2" s="147" t="s">
        <v>180</v>
      </c>
      <c r="I2" s="144" t="s">
        <v>186</v>
      </c>
      <c r="J2" s="145"/>
      <c r="K2" s="145"/>
      <c r="L2" s="146"/>
    </row>
    <row r="3" spans="1:12" ht="18" x14ac:dyDescent="0.25">
      <c r="A3" s="148"/>
      <c r="B3" s="88" t="s">
        <v>173</v>
      </c>
      <c r="C3" s="88" t="s">
        <v>174</v>
      </c>
      <c r="D3" s="88" t="s">
        <v>173</v>
      </c>
      <c r="E3" s="88" t="s">
        <v>174</v>
      </c>
      <c r="F3" s="88" t="s">
        <v>155</v>
      </c>
      <c r="G3" s="88" t="s">
        <v>43</v>
      </c>
      <c r="H3" s="148"/>
      <c r="I3" s="88" t="s">
        <v>155</v>
      </c>
      <c r="J3" s="88" t="s">
        <v>43</v>
      </c>
      <c r="K3" s="88" t="s">
        <v>183</v>
      </c>
      <c r="L3" s="88" t="s">
        <v>185</v>
      </c>
    </row>
    <row r="4" spans="1:12" x14ac:dyDescent="0.25">
      <c r="A4" s="86" t="s">
        <v>167</v>
      </c>
      <c r="B4" s="87">
        <f>FIND(const_string,A4)</f>
        <v>9</v>
      </c>
      <c r="C4" s="87">
        <f>B4+LEN(const_string)</f>
        <v>21</v>
      </c>
      <c r="D4" s="87">
        <f>FIND(value_begin,A4)+LEN(value_begin)</f>
        <v>47</v>
      </c>
      <c r="E4" s="87">
        <f>FIND(value_end,A4)</f>
        <v>62</v>
      </c>
      <c r="F4" s="87" t="str">
        <f>TRIM(MID(A4,C4,D4-(C4+LEN(value_begin))))</f>
        <v>TEST_MAXSTRINGLENGTH</v>
      </c>
      <c r="G4" s="87" t="str">
        <f>MID(A4,D4,E4-D4)</f>
        <v>MaxStringLength</v>
      </c>
      <c r="H4" s="87" t="str">
        <f>TRIM(RIGHT(A4,LEN(A4)-(FIND(comment_begin,A4)+LEN(comment_begin))))</f>
        <v>MaxStringLength_Tests</v>
      </c>
      <c r="I4" s="87" t="str">
        <f>SUBSTITUTE(F4,I$1,J$1)</f>
        <v>CHOICE_MAXSTRINGLENGTH</v>
      </c>
      <c r="J4" s="87">
        <v>0</v>
      </c>
      <c r="K4" s="87" t="str">
        <f>CONCATENATE("const int ",I4,"=",J4,";")</f>
        <v>const int CHOICE_MAXSTRINGLENGTH=0;</v>
      </c>
      <c r="L4" s="87" t="str">
        <f>CONCATENATE(L$1,"[",I4,"]=",F4,";")</f>
        <v>s_strTestSelections[CHOICE_MAXSTRINGLENGTH]=TEST_MAXSTRINGLENGTH;</v>
      </c>
    </row>
    <row r="5" spans="1:12" x14ac:dyDescent="0.25">
      <c r="A5" s="82" t="s">
        <v>168</v>
      </c>
      <c r="B5" s="84">
        <f>FIND(const_string,A5)</f>
        <v>9</v>
      </c>
      <c r="C5" s="84">
        <f>B5+LEN(const_string)</f>
        <v>21</v>
      </c>
      <c r="D5" s="84">
        <f>FIND(value_begin,A5)+LEN(value_begin)</f>
        <v>54</v>
      </c>
      <c r="E5" s="84">
        <f>FIND(value_end,A5)</f>
        <v>76</v>
      </c>
      <c r="F5" s="84" t="str">
        <f>TRIM(MID(A5,C5,D5-(C5+LEN(value_begin))))</f>
        <v>TEST_MERGENEWITEMSINTOARRAY</v>
      </c>
      <c r="G5" s="84" t="str">
        <f t="shared" ref="G5:G7" si="0">MID(A5,D5,E5-D5)</f>
        <v>MergeNewItemsIntoArray</v>
      </c>
      <c r="H5" s="84" t="str">
        <f>TRIM(RIGHT(A5,LEN(A5)-(FIND(comment_begin,A5)+LEN(comment_begin))))</f>
        <v>MergeNewItemsIntoArray_Tests</v>
      </c>
      <c r="I5" s="84" t="str">
        <f t="shared" ref="I5:I7" si="1">SUBSTITUTE(F5,I$1,J$1)</f>
        <v>CHOICE_MERGENEWITEMSINTOARRAY</v>
      </c>
      <c r="J5" s="84">
        <f>+J4+1</f>
        <v>1</v>
      </c>
      <c r="K5" s="84" t="str">
        <f t="shared" ref="K5:K7" si="2">CONCATENATE("const int ",I5,"=",J5,";")</f>
        <v>const int CHOICE_MERGENEWITEMSINTOARRAY=1;</v>
      </c>
      <c r="L5" s="84" t="str">
        <f t="shared" ref="L5:L7" si="3">CONCATENATE(L$1,"[",I5,"]=",F5,";")</f>
        <v>s_strTestSelections[CHOICE_MERGENEWITEMSINTOARRAY]=TEST_MERGENEWITEMSINTOARRAY;</v>
      </c>
    </row>
    <row r="6" spans="1:12" x14ac:dyDescent="0.25">
      <c r="A6" s="81" t="s">
        <v>169</v>
      </c>
      <c r="B6" s="83">
        <f>FIND(const_string,A6)</f>
        <v>9</v>
      </c>
      <c r="C6" s="83">
        <f>B6+LEN(const_string)</f>
        <v>21</v>
      </c>
      <c r="D6" s="83">
        <f>FIND(value_begin,A6)+LEN(value_begin)</f>
        <v>42</v>
      </c>
      <c r="E6" s="83">
        <f>FIND(value_end,A6)</f>
        <v>52</v>
      </c>
      <c r="F6" s="83" t="str">
        <f>TRIM(MID(A6,C6,D6-(C6+LEN(value_begin))))</f>
        <v>TEST_DIGESTFILE</v>
      </c>
      <c r="G6" s="83" t="str">
        <f t="shared" si="0"/>
        <v>DigestFile</v>
      </c>
      <c r="H6" s="83" t="str">
        <f>TRIM(RIGHT(A6,LEN(A6)-(FIND(comment_begin,A6)+LEN(comment_begin))))</f>
        <v>DigestFileTests</v>
      </c>
      <c r="I6" s="83" t="str">
        <f t="shared" si="1"/>
        <v>CHOICE_DIGESTFILE</v>
      </c>
      <c r="J6" s="83">
        <f t="shared" ref="J6:J7" si="4">+J5+1</f>
        <v>2</v>
      </c>
      <c r="K6" s="83" t="str">
        <f t="shared" si="2"/>
        <v>const int CHOICE_DIGESTFILE=2;</v>
      </c>
      <c r="L6" s="83" t="str">
        <f t="shared" si="3"/>
        <v>s_strTestSelections[CHOICE_DIGESTFILE]=TEST_DIGESTFILE;</v>
      </c>
    </row>
    <row r="7" spans="1:12" x14ac:dyDescent="0.25">
      <c r="A7" s="80" t="s">
        <v>170</v>
      </c>
      <c r="B7" s="85">
        <f>FIND(const_string,A7)</f>
        <v>9</v>
      </c>
      <c r="C7" s="85">
        <f>B7+LEN(const_string)</f>
        <v>21</v>
      </c>
      <c r="D7" s="85">
        <f>FIND(value_begin,A7)+LEN(value_begin)</f>
        <v>45</v>
      </c>
      <c r="E7" s="85">
        <f>FIND(value_end,A7)</f>
        <v>58</v>
      </c>
      <c r="F7" s="85" t="str">
        <f>TRIM(MID(A7,C7,D7-(C7+LEN(value_begin))))</f>
        <v>TEST_REPORTDETAILS</v>
      </c>
      <c r="G7" s="85" t="str">
        <f t="shared" si="0"/>
        <v>ReportDetails</v>
      </c>
      <c r="H7" s="85" t="str">
        <f>TRIM(RIGHT(A7,LEN(A7)-(FIND(comment_begin,A7)+LEN(comment_begin))))</f>
        <v>ReportDetailsTests</v>
      </c>
      <c r="I7" s="85" t="str">
        <f t="shared" si="1"/>
        <v>CHOICE_REPORTDETAILS</v>
      </c>
      <c r="J7" s="85">
        <f t="shared" si="4"/>
        <v>3</v>
      </c>
      <c r="K7" s="85" t="str">
        <f t="shared" si="2"/>
        <v>const int CHOICE_REPORTDETAILS=3;</v>
      </c>
      <c r="L7" s="85" t="str">
        <f t="shared" si="3"/>
        <v>s_strTestSelections[CHOICE_REPORTDETAILS]=TEST_REPORTDETAILS;</v>
      </c>
    </row>
  </sheetData>
  <mergeCells count="6">
    <mergeCell ref="I2:L2"/>
    <mergeCell ref="B2:C2"/>
    <mergeCell ref="D2:E2"/>
    <mergeCell ref="F2:G2"/>
    <mergeCell ref="A2:A3"/>
    <mergeCell ref="H2:H3"/>
  </mergeCells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875" style="33" bestFit="1" customWidth="1"/>
    <col min="2" max="2" width="18.125" style="33" bestFit="1" customWidth="1"/>
    <col min="3" max="3" width="22.25" style="33" bestFit="1" customWidth="1"/>
    <col min="4" max="4" width="40.75" style="33" bestFit="1" customWidth="1"/>
    <col min="5" max="5" width="9.375" style="33" bestFit="1" customWidth="1"/>
    <col min="6" max="6" width="22.25" style="33" bestFit="1" customWidth="1"/>
    <col min="7" max="7" width="42.875" style="33" bestFit="1" customWidth="1"/>
    <col min="8" max="8" width="22.25" style="33" bestFit="1" customWidth="1"/>
    <col min="9" max="9" width="30.5" style="33" bestFit="1" customWidth="1"/>
    <col min="10" max="10" width="17.125" style="33" bestFit="1" customWidth="1"/>
    <col min="11" max="16384" width="9" style="33"/>
  </cols>
  <sheetData>
    <row r="1" spans="1:10" ht="18" x14ac:dyDescent="0.25">
      <c r="A1" s="153" t="s">
        <v>197</v>
      </c>
      <c r="B1" s="154"/>
      <c r="C1" s="153" t="s">
        <v>198</v>
      </c>
      <c r="D1" s="155"/>
      <c r="E1" s="154"/>
      <c r="F1" s="153" t="s">
        <v>202</v>
      </c>
      <c r="G1" s="154"/>
      <c r="H1" s="153" t="s">
        <v>203</v>
      </c>
      <c r="I1" s="154"/>
      <c r="J1" s="156" t="s">
        <v>221</v>
      </c>
    </row>
    <row r="2" spans="1:10" ht="18" x14ac:dyDescent="0.25">
      <c r="A2" s="91" t="s">
        <v>196</v>
      </c>
      <c r="B2" s="91" t="s">
        <v>155</v>
      </c>
      <c r="C2" s="91" t="s">
        <v>155</v>
      </c>
      <c r="D2" s="91" t="s">
        <v>199</v>
      </c>
      <c r="E2" s="91" t="s">
        <v>200</v>
      </c>
      <c r="F2" s="91" t="s">
        <v>204</v>
      </c>
      <c r="G2" s="91" t="s">
        <v>43</v>
      </c>
      <c r="H2" s="91" t="s">
        <v>204</v>
      </c>
      <c r="I2" s="91" t="s">
        <v>43</v>
      </c>
      <c r="J2" s="157"/>
    </row>
    <row r="3" spans="1:10" x14ac:dyDescent="0.25">
      <c r="A3" s="93" t="s">
        <v>189</v>
      </c>
      <c r="B3" s="93" t="s">
        <v>190</v>
      </c>
      <c r="C3" s="93" t="str">
        <f>CONCATENATE("MSG_",UPPER(B3))</f>
        <v>MSG_PUINTITEMINDEX</v>
      </c>
      <c r="D3" s="93" t="str">
        <f>CONCATENATE(REPT(CHAR(32),4),"Argument ",B3,", a ",A3)</f>
        <v xml:space="preserve">    Argument puintItemIndex, a uint</v>
      </c>
      <c r="E3" s="93">
        <f>LEN(D3)</f>
        <v>35</v>
      </c>
      <c r="F3" s="93" t="s">
        <v>207</v>
      </c>
      <c r="G3" s="94">
        <v>0</v>
      </c>
      <c r="H3" s="93" t="s">
        <v>208</v>
      </c>
      <c r="I3" s="94">
        <v>4</v>
      </c>
      <c r="J3" s="93" t="s">
        <v>217</v>
      </c>
    </row>
    <row r="4" spans="1:10" x14ac:dyDescent="0.25">
      <c r="A4" s="93" t="s">
        <v>189</v>
      </c>
      <c r="B4" s="93" t="s">
        <v>191</v>
      </c>
      <c r="C4" s="93" t="str">
        <f t="shared" ref="C4:C6" si="0">CONCATENATE("MSG_",UPPER(B4))</f>
        <v>MSG_PUINTMAXIMUMWIDTH</v>
      </c>
      <c r="D4" s="93" t="str">
        <f t="shared" ref="D4:D6" si="1">CONCATENATE(REPT(CHAR(32),4),"Argument ",B4,", a ",A4)</f>
        <v xml:space="preserve">    Argument puintMaximumWidth, a uint</v>
      </c>
      <c r="E4" s="93">
        <f t="shared" ref="E4:E6" si="2">LEN(D4)</f>
        <v>38</v>
      </c>
      <c r="F4" s="93" t="s">
        <v>205</v>
      </c>
      <c r="G4" s="94">
        <v>1</v>
      </c>
      <c r="H4" s="93" t="s">
        <v>206</v>
      </c>
      <c r="I4" s="94">
        <v>3</v>
      </c>
      <c r="J4" s="93" t="s">
        <v>218</v>
      </c>
    </row>
    <row r="5" spans="1:10" x14ac:dyDescent="0.25">
      <c r="A5" s="93" t="s">
        <v>192</v>
      </c>
      <c r="B5" s="93" t="s">
        <v>193</v>
      </c>
      <c r="C5" s="93" t="str">
        <f t="shared" si="0"/>
        <v>MSG_PENMALIGNMENT</v>
      </c>
      <c r="D5" s="93" t="str">
        <f t="shared" si="1"/>
        <v xml:space="preserve">    Argument penmAlignment, a Alignment</v>
      </c>
      <c r="E5" s="93">
        <f t="shared" si="2"/>
        <v>39</v>
      </c>
      <c r="F5" s="93" t="s">
        <v>212</v>
      </c>
      <c r="G5" s="93" t="s">
        <v>209</v>
      </c>
      <c r="H5" s="93" t="s">
        <v>211</v>
      </c>
      <c r="I5" s="93" t="s">
        <v>210</v>
      </c>
      <c r="J5" s="93" t="s">
        <v>219</v>
      </c>
    </row>
    <row r="6" spans="1:10" x14ac:dyDescent="0.25">
      <c r="A6" s="93" t="s">
        <v>194</v>
      </c>
      <c r="B6" s="93" t="s">
        <v>195</v>
      </c>
      <c r="C6" s="93" t="str">
        <f t="shared" si="0"/>
        <v>MSG_PSTRFORMATSTRING</v>
      </c>
      <c r="D6" s="93" t="str">
        <f t="shared" si="1"/>
        <v xml:space="preserve">    Argument pstrFormatString, a string</v>
      </c>
      <c r="E6" s="93">
        <f t="shared" si="2"/>
        <v>39</v>
      </c>
      <c r="F6" s="93" t="s">
        <v>213</v>
      </c>
      <c r="G6" s="93" t="s">
        <v>214</v>
      </c>
      <c r="H6" s="93" t="s">
        <v>216</v>
      </c>
      <c r="I6" s="93" t="s">
        <v>215</v>
      </c>
      <c r="J6" s="93" t="s">
        <v>220</v>
      </c>
    </row>
    <row r="8" spans="1:10" ht="18" x14ac:dyDescent="0.25">
      <c r="D8" s="92" t="s">
        <v>201</v>
      </c>
      <c r="E8" s="93">
        <f>MAX(A2:E7)</f>
        <v>39</v>
      </c>
    </row>
    <row r="12" spans="1:10" x14ac:dyDescent="0.25">
      <c r="A12" s="151" t="s">
        <v>222</v>
      </c>
      <c r="B12" s="152"/>
      <c r="C12" s="93">
        <v>1</v>
      </c>
    </row>
    <row r="13" spans="1:10" x14ac:dyDescent="0.25">
      <c r="A13" s="151" t="s">
        <v>223</v>
      </c>
      <c r="B13" s="152"/>
      <c r="C13" s="93">
        <v>10</v>
      </c>
    </row>
    <row r="14" spans="1:10" x14ac:dyDescent="0.25">
      <c r="A14" s="151" t="s">
        <v>224</v>
      </c>
      <c r="B14" s="152"/>
      <c r="C14" s="93">
        <v>0</v>
      </c>
    </row>
    <row r="15" spans="1:10" x14ac:dyDescent="0.25">
      <c r="A15" s="151" t="s">
        <v>225</v>
      </c>
      <c r="B15" s="152"/>
      <c r="C15" s="93">
        <v>4</v>
      </c>
    </row>
    <row r="16" spans="1:10" x14ac:dyDescent="0.25">
      <c r="A16" s="151" t="s">
        <v>226</v>
      </c>
      <c r="B16" s="152"/>
      <c r="C16" s="93">
        <v>2</v>
      </c>
    </row>
    <row r="17" spans="1:7" x14ac:dyDescent="0.25">
      <c r="A17" s="149" t="s">
        <v>227</v>
      </c>
      <c r="B17" s="150"/>
      <c r="C17" s="93">
        <v>4</v>
      </c>
    </row>
    <row r="18" spans="1:7" ht="29.25" customHeight="1" x14ac:dyDescent="0.25">
      <c r="A18" s="163" t="s">
        <v>232</v>
      </c>
      <c r="B18" s="164"/>
      <c r="C18" s="93">
        <v>1</v>
      </c>
    </row>
    <row r="20" spans="1:7" x14ac:dyDescent="0.25">
      <c r="A20" s="149" t="s">
        <v>228</v>
      </c>
      <c r="B20" s="150"/>
      <c r="C20" s="165" t="s">
        <v>229</v>
      </c>
      <c r="D20" s="166"/>
      <c r="E20" s="166"/>
      <c r="F20" s="166"/>
      <c r="G20" s="167"/>
    </row>
    <row r="21" spans="1:7" x14ac:dyDescent="0.25">
      <c r="A21" s="168"/>
      <c r="B21" s="169"/>
      <c r="C21" s="165" t="s">
        <v>233</v>
      </c>
      <c r="D21" s="166"/>
      <c r="E21" s="166"/>
      <c r="F21" s="166"/>
      <c r="G21" s="167"/>
    </row>
    <row r="22" spans="1:7" x14ac:dyDescent="0.25">
      <c r="A22" s="168"/>
      <c r="B22" s="169"/>
      <c r="C22" s="165" t="s">
        <v>230</v>
      </c>
      <c r="D22" s="166"/>
      <c r="E22" s="166"/>
      <c r="F22" s="166"/>
      <c r="G22" s="167"/>
    </row>
    <row r="23" spans="1:7" x14ac:dyDescent="0.25">
      <c r="A23" s="168"/>
      <c r="B23" s="169"/>
      <c r="C23" s="165" t="s">
        <v>231</v>
      </c>
      <c r="D23" s="166"/>
      <c r="E23" s="166"/>
      <c r="F23" s="166"/>
      <c r="G23" s="167"/>
    </row>
    <row r="24" spans="1:7" x14ac:dyDescent="0.25">
      <c r="C24" s="95"/>
      <c r="D24" s="95"/>
      <c r="E24" s="95"/>
    </row>
    <row r="25" spans="1:7" x14ac:dyDescent="0.25">
      <c r="C25" s="161" t="s">
        <v>208</v>
      </c>
      <c r="D25" s="162"/>
      <c r="E25" s="93">
        <f ca="1">IF(LEN(C25)&gt;0,INDIRECT(C25),"")</f>
        <v>4</v>
      </c>
    </row>
    <row r="26" spans="1:7" x14ac:dyDescent="0.25">
      <c r="C26" s="161" t="s">
        <v>207</v>
      </c>
      <c r="D26" s="162"/>
      <c r="E26" s="93">
        <f t="shared" ref="E26:E36" ca="1" si="3">IF(LEN(C26)&gt;0,INDIRECT(C26),"")</f>
        <v>0</v>
      </c>
    </row>
    <row r="27" spans="1:7" x14ac:dyDescent="0.25">
      <c r="C27"/>
      <c r="D27" s="98" t="str">
        <f>CONCATENATE(C25," - ", C26)</f>
        <v>ITEM_NUMBER_MAXIMUM - ITEM_NUMBER_MINIMUM</v>
      </c>
      <c r="E27" s="93">
        <f>ITEM_NUMBER_MAXIMUM-ITEM_NUMBER_MINIMUM</f>
        <v>4</v>
      </c>
    </row>
    <row r="28" spans="1:7" x14ac:dyDescent="0.25">
      <c r="C28"/>
      <c r="D28"/>
      <c r="E28"/>
    </row>
    <row r="29" spans="1:7" x14ac:dyDescent="0.25">
      <c r="C29" s="161" t="s">
        <v>206</v>
      </c>
      <c r="D29" s="162"/>
      <c r="E29" s="93">
        <f t="shared" ca="1" si="3"/>
        <v>10</v>
      </c>
    </row>
    <row r="30" spans="1:7" x14ac:dyDescent="0.25">
      <c r="C30" s="96"/>
      <c r="D30" s="96"/>
      <c r="E30"/>
    </row>
    <row r="31" spans="1:7" x14ac:dyDescent="0.25">
      <c r="C31" s="161" t="s">
        <v>205</v>
      </c>
      <c r="D31" s="162"/>
      <c r="E31" s="99">
        <f t="shared" ca="1" si="3"/>
        <v>1</v>
      </c>
    </row>
    <row r="32" spans="1:7" x14ac:dyDescent="0.25">
      <c r="C32"/>
      <c r="D32"/>
      <c r="E32"/>
    </row>
    <row r="33" spans="1:5" ht="25.5" x14ac:dyDescent="0.25">
      <c r="C33"/>
      <c r="D33" s="98" t="str">
        <f>CONCATENATE(C29," - ",C31)</f>
        <v>DESIRED_WIDTH_MAXIMUM - DESIRED_WIDTH_MINIMUM</v>
      </c>
      <c r="E33" s="99">
        <f>DESIRED_WIDTH_MAXIMUM-DESIRED_WIDTH_MINIMUM</f>
        <v>9</v>
      </c>
    </row>
    <row r="34" spans="1:5" x14ac:dyDescent="0.25">
      <c r="C34" s="96"/>
      <c r="D34" s="96"/>
      <c r="E34"/>
    </row>
    <row r="35" spans="1:5" x14ac:dyDescent="0.25">
      <c r="C35" s="161" t="s">
        <v>226</v>
      </c>
      <c r="D35" s="162"/>
      <c r="E35" s="93">
        <f t="shared" ca="1" si="3"/>
        <v>2</v>
      </c>
    </row>
    <row r="36" spans="1:5" x14ac:dyDescent="0.25">
      <c r="C36" s="161" t="s">
        <v>227</v>
      </c>
      <c r="D36" s="162"/>
      <c r="E36" s="93">
        <f t="shared" ca="1" si="3"/>
        <v>4</v>
      </c>
    </row>
    <row r="38" spans="1:5" ht="18" x14ac:dyDescent="0.25">
      <c r="A38" s="158" t="str">
        <f>A20</f>
        <v>lngTotalTests</v>
      </c>
      <c r="B38" s="159"/>
      <c r="C38" s="159"/>
      <c r="D38" s="160"/>
      <c r="E38" s="97">
        <f>ITEM_NUMBER_MAXIMUM___ITEM_NUMBER_MINIMUM*DESIRED_WIDTH_MAXIMUM___DESIRED_WIDTH_MINIMUM*s_aenmAlignment.Length*s_astrFormats.Length</f>
        <v>288</v>
      </c>
    </row>
  </sheetData>
  <mergeCells count="24">
    <mergeCell ref="A18:B18"/>
    <mergeCell ref="C20:G20"/>
    <mergeCell ref="C21:G21"/>
    <mergeCell ref="C22:G22"/>
    <mergeCell ref="C23:G23"/>
    <mergeCell ref="A20:B23"/>
    <mergeCell ref="A38:D38"/>
    <mergeCell ref="C31:D31"/>
    <mergeCell ref="C25:D25"/>
    <mergeCell ref="C26:D26"/>
    <mergeCell ref="C29:D29"/>
    <mergeCell ref="C35:D35"/>
    <mergeCell ref="C36:D36"/>
    <mergeCell ref="A1:B1"/>
    <mergeCell ref="C1:E1"/>
    <mergeCell ref="F1:G1"/>
    <mergeCell ref="H1:I1"/>
    <mergeCell ref="J1:J2"/>
    <mergeCell ref="A17:B17"/>
    <mergeCell ref="A12:B12"/>
    <mergeCell ref="A13:B13"/>
    <mergeCell ref="A14:B14"/>
    <mergeCell ref="A15:B15"/>
    <mergeCell ref="A16:B16"/>
  </mergeCells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workbookViewId="0">
      <pane xSplit="1" ySplit="2" topLeftCell="B44" activePane="bottomRight" state="frozen"/>
      <selection pane="topRight" activeCell="B1" sqref="B1"/>
      <selection pane="bottomLeft" activeCell="A2" sqref="A2"/>
      <selection pane="bottomRight" activeCell="A67" sqref="A67"/>
    </sheetView>
  </sheetViews>
  <sheetFormatPr defaultRowHeight="15" x14ac:dyDescent="0.25"/>
  <cols>
    <col min="1" max="1" width="62.5" bestFit="1" customWidth="1"/>
    <col min="2" max="2" width="19.125" bestFit="1" customWidth="1"/>
    <col min="3" max="3" width="6.25" bestFit="1" customWidth="1"/>
    <col min="4" max="4" width="10.875" bestFit="1" customWidth="1"/>
    <col min="5" max="5" width="24.75" bestFit="1" customWidth="1"/>
    <col min="6" max="6" width="29.5" bestFit="1" customWidth="1"/>
    <col min="7" max="7" width="36.625" bestFit="1" customWidth="1"/>
  </cols>
  <sheetData>
    <row r="1" spans="1:8" s="100" customFormat="1" ht="18" x14ac:dyDescent="0.25">
      <c r="A1" s="173" t="s">
        <v>275</v>
      </c>
      <c r="B1" s="173" t="s">
        <v>276</v>
      </c>
      <c r="C1" s="175" t="s">
        <v>277</v>
      </c>
      <c r="D1" s="176"/>
      <c r="E1" s="175" t="s">
        <v>282</v>
      </c>
      <c r="F1" s="177"/>
      <c r="G1" s="177"/>
      <c r="H1" s="176"/>
    </row>
    <row r="2" spans="1:8" ht="18" x14ac:dyDescent="0.25">
      <c r="A2" s="174"/>
      <c r="B2" s="174"/>
      <c r="C2" s="101" t="s">
        <v>279</v>
      </c>
      <c r="D2" s="101" t="s">
        <v>280</v>
      </c>
      <c r="E2" s="101" t="s">
        <v>301</v>
      </c>
      <c r="F2" s="101" t="s">
        <v>281</v>
      </c>
      <c r="G2" s="101" t="s">
        <v>183</v>
      </c>
      <c r="H2" s="101" t="s">
        <v>285</v>
      </c>
    </row>
    <row r="3" spans="1:8" s="100" customFormat="1" x14ac:dyDescent="0.25">
      <c r="A3" s="104" t="s">
        <v>278</v>
      </c>
      <c r="B3" s="170" t="s">
        <v>278</v>
      </c>
      <c r="C3" s="171"/>
      <c r="D3" s="172"/>
      <c r="E3" s="170" t="s">
        <v>278</v>
      </c>
      <c r="F3" s="171"/>
      <c r="G3" s="171"/>
      <c r="H3" s="172"/>
    </row>
    <row r="4" spans="1:8" x14ac:dyDescent="0.25">
      <c r="A4" s="102" t="s">
        <v>234</v>
      </c>
      <c r="B4" s="103" t="str">
        <f>IF(AND(ISERROR(FIND("///",$A4)),NOT(ISERROR(FIND(",",$A4)))),TRIM(LEFT($A4,FIND(",",$A4)-1)),"")</f>
        <v/>
      </c>
      <c r="C4" s="103" t="str">
        <f>IF(LEN(B4)&gt;0,MAX(C$2:C3)+1,"")</f>
        <v/>
      </c>
      <c r="D4" s="103" t="str">
        <f>IF(LEN(B4)&gt;0,CONCATENATE("0x",DEC2HEX(C4,8)),"")</f>
        <v/>
      </c>
      <c r="E4" s="103"/>
      <c r="F4" s="103"/>
      <c r="G4" s="103" t="str">
        <f>IF(AND(LEN(E4)&gt;0,LEN(F4)&gt;0),CONCATENATE("const char ",F4,"='",E4,"';"),"")</f>
        <v/>
      </c>
      <c r="H4" s="103" t="str">
        <f>IF(LEN(G4)&gt;0,FALSE,"")</f>
        <v/>
      </c>
    </row>
    <row r="5" spans="1:8" x14ac:dyDescent="0.25">
      <c r="A5" s="102" t="s">
        <v>235</v>
      </c>
      <c r="B5" s="103" t="str">
        <f t="shared" ref="B5:B72" si="0">IF(AND(ISERROR(FIND("///",$A5)),NOT(ISERROR(FIND(",",$A5)))),TRIM(LEFT($A5,FIND(",",$A5)-1)),"")</f>
        <v/>
      </c>
      <c r="C5" s="103" t="str">
        <f>IF(LEN(B5)&gt;0,MAX(C$2:C4)+1,"")</f>
        <v/>
      </c>
      <c r="D5" s="103" t="str">
        <f t="shared" ref="D5:D72" si="1">IF(LEN(B5)&gt;0,CONCATENATE("0x",DEC2HEX(C5,8)),"")</f>
        <v/>
      </c>
      <c r="E5" s="103"/>
      <c r="F5" s="103"/>
      <c r="G5" s="103" t="str">
        <f t="shared" ref="G5:G32" si="2">IF(AND(LEN(E5)&gt;0,LEN(F5)&gt;0),CONCATENATE("const char ",F5,"='",E5,"';"),"")</f>
        <v/>
      </c>
      <c r="H5" s="103" t="str">
        <f t="shared" ref="H5:H32" si="3">IF(LEN(G5)&gt;0,FALSE,"")</f>
        <v/>
      </c>
    </row>
    <row r="6" spans="1:8" x14ac:dyDescent="0.25">
      <c r="A6" s="102" t="s">
        <v>236</v>
      </c>
      <c r="B6" s="103" t="str">
        <f t="shared" si="0"/>
        <v/>
      </c>
      <c r="C6" s="103" t="str">
        <f>IF(LEN(B6)&gt;0,MAX(C$2:C5)+1,"")</f>
        <v/>
      </c>
      <c r="D6" s="103" t="str">
        <f t="shared" si="1"/>
        <v/>
      </c>
      <c r="E6" s="103"/>
      <c r="F6" s="103"/>
      <c r="G6" s="103" t="str">
        <f t="shared" si="2"/>
        <v/>
      </c>
      <c r="H6" s="103" t="str">
        <f t="shared" si="3"/>
        <v/>
      </c>
    </row>
    <row r="7" spans="1:8" x14ac:dyDescent="0.25">
      <c r="A7" s="102" t="s">
        <v>237</v>
      </c>
      <c r="B7" s="103" t="str">
        <f t="shared" si="0"/>
        <v/>
      </c>
      <c r="C7" s="103" t="str">
        <f>IF(LEN(B7)&gt;0,MAX(C$2:C6)+1,"")</f>
        <v/>
      </c>
      <c r="D7" s="103" t="str">
        <f t="shared" si="1"/>
        <v/>
      </c>
      <c r="E7" s="103"/>
      <c r="F7" s="103"/>
      <c r="G7" s="103" t="str">
        <f t="shared" si="2"/>
        <v/>
      </c>
      <c r="H7" s="103" t="str">
        <f t="shared" si="3"/>
        <v/>
      </c>
    </row>
    <row r="8" spans="1:8" x14ac:dyDescent="0.25">
      <c r="A8" s="102" t="s">
        <v>238</v>
      </c>
      <c r="B8" s="103" t="str">
        <f t="shared" si="0"/>
        <v/>
      </c>
      <c r="C8" s="103" t="str">
        <f>IF(LEN(B8)&gt;0,MAX(C$2:C7)+1,"")</f>
        <v/>
      </c>
      <c r="D8" s="103" t="str">
        <f t="shared" si="1"/>
        <v/>
      </c>
      <c r="E8" s="103"/>
      <c r="F8" s="103"/>
      <c r="G8" s="103" t="str">
        <f t="shared" si="2"/>
        <v/>
      </c>
      <c r="H8" s="103" t="str">
        <f t="shared" si="3"/>
        <v/>
      </c>
    </row>
    <row r="9" spans="1:8" x14ac:dyDescent="0.25">
      <c r="A9" s="102" t="s">
        <v>239</v>
      </c>
      <c r="B9" s="103" t="str">
        <f t="shared" si="0"/>
        <v/>
      </c>
      <c r="C9" s="103" t="str">
        <f>IF(LEN(B9)&gt;0,MAX(C$2:C8)+1,"")</f>
        <v/>
      </c>
      <c r="D9" s="103" t="str">
        <f t="shared" si="1"/>
        <v/>
      </c>
      <c r="E9" s="103"/>
      <c r="F9" s="103"/>
      <c r="G9" s="103" t="str">
        <f t="shared" si="2"/>
        <v/>
      </c>
      <c r="H9" s="103" t="str">
        <f t="shared" si="3"/>
        <v/>
      </c>
    </row>
    <row r="10" spans="1:8" x14ac:dyDescent="0.25">
      <c r="A10" s="102" t="s">
        <v>240</v>
      </c>
      <c r="B10" s="103" t="str">
        <f t="shared" si="0"/>
        <v/>
      </c>
      <c r="C10" s="103" t="str">
        <f>IF(LEN(B10)&gt;0,MAX(C$2:C9)+1,"")</f>
        <v/>
      </c>
      <c r="D10" s="103" t="str">
        <f t="shared" si="1"/>
        <v/>
      </c>
      <c r="E10" s="103"/>
      <c r="F10" s="103"/>
      <c r="G10" s="103" t="str">
        <f t="shared" si="2"/>
        <v/>
      </c>
      <c r="H10" s="103" t="str">
        <f t="shared" si="3"/>
        <v/>
      </c>
    </row>
    <row r="11" spans="1:8" x14ac:dyDescent="0.25">
      <c r="A11" s="102" t="s">
        <v>241</v>
      </c>
      <c r="B11" s="103" t="str">
        <f t="shared" si="0"/>
        <v/>
      </c>
      <c r="C11" s="103" t="str">
        <f>IF(LEN(B11)&gt;0,MAX(C$2:C10)+1,"")</f>
        <v/>
      </c>
      <c r="D11" s="103" t="str">
        <f t="shared" si="1"/>
        <v/>
      </c>
      <c r="E11" s="103"/>
      <c r="F11" s="103"/>
      <c r="G11" s="103" t="str">
        <f t="shared" si="2"/>
        <v/>
      </c>
      <c r="H11" s="103" t="str">
        <f t="shared" si="3"/>
        <v/>
      </c>
    </row>
    <row r="12" spans="1:8" x14ac:dyDescent="0.25">
      <c r="A12" s="102" t="s">
        <v>242</v>
      </c>
      <c r="B12" s="103" t="str">
        <f t="shared" si="0"/>
        <v/>
      </c>
      <c r="C12" s="103" t="str">
        <f>IF(LEN(B12)&gt;0,MAX(C$2:C11)+1,"")</f>
        <v/>
      </c>
      <c r="D12" s="103" t="str">
        <f t="shared" si="1"/>
        <v/>
      </c>
      <c r="E12" s="103"/>
      <c r="F12" s="103"/>
      <c r="G12" s="103" t="str">
        <f t="shared" si="2"/>
        <v/>
      </c>
      <c r="H12" s="103" t="str">
        <f t="shared" si="3"/>
        <v/>
      </c>
    </row>
    <row r="13" spans="1:8" x14ac:dyDescent="0.25">
      <c r="A13" s="102" t="s">
        <v>243</v>
      </c>
      <c r="B13" s="103" t="str">
        <f t="shared" si="0"/>
        <v/>
      </c>
      <c r="C13" s="103" t="str">
        <f>IF(LEN(B13)&gt;0,MAX(C$2:C12)+1,"")</f>
        <v/>
      </c>
      <c r="D13" s="103" t="str">
        <f t="shared" si="1"/>
        <v/>
      </c>
      <c r="E13" s="103"/>
      <c r="F13" s="103"/>
      <c r="G13" s="103" t="str">
        <f t="shared" si="2"/>
        <v/>
      </c>
      <c r="H13" s="103" t="str">
        <f t="shared" si="3"/>
        <v/>
      </c>
    </row>
    <row r="14" spans="1:8" x14ac:dyDescent="0.25">
      <c r="A14" s="102" t="s">
        <v>244</v>
      </c>
      <c r="B14" s="103" t="str">
        <f t="shared" si="0"/>
        <v/>
      </c>
      <c r="C14" s="103" t="str">
        <f>IF(LEN(B14)&gt;0,MAX(C$2:C13)+1,"")</f>
        <v/>
      </c>
      <c r="D14" s="103" t="str">
        <f t="shared" si="1"/>
        <v/>
      </c>
      <c r="E14" s="103"/>
      <c r="F14" s="103"/>
      <c r="G14" s="103" t="str">
        <f t="shared" si="2"/>
        <v/>
      </c>
      <c r="H14" s="103" t="str">
        <f t="shared" si="3"/>
        <v/>
      </c>
    </row>
    <row r="15" spans="1:8" x14ac:dyDescent="0.25">
      <c r="A15" s="102" t="s">
        <v>245</v>
      </c>
      <c r="B15" s="103" t="str">
        <f t="shared" si="0"/>
        <v/>
      </c>
      <c r="C15" s="103" t="str">
        <f>IF(LEN(B15)&gt;0,MAX(C$2:C14)+1,"")</f>
        <v/>
      </c>
      <c r="D15" s="103" t="str">
        <f t="shared" si="1"/>
        <v/>
      </c>
      <c r="E15" s="103"/>
      <c r="F15" s="103"/>
      <c r="G15" s="103" t="str">
        <f t="shared" si="2"/>
        <v/>
      </c>
      <c r="H15" s="103" t="str">
        <f t="shared" si="3"/>
        <v/>
      </c>
    </row>
    <row r="16" spans="1:8" x14ac:dyDescent="0.25">
      <c r="A16" s="102" t="s">
        <v>246</v>
      </c>
      <c r="B16" s="103" t="str">
        <f t="shared" si="0"/>
        <v/>
      </c>
      <c r="C16" s="103" t="str">
        <f>IF(LEN(B16)&gt;0,MAX(C$2:C15)+1,"")</f>
        <v/>
      </c>
      <c r="D16" s="103" t="str">
        <f t="shared" si="1"/>
        <v/>
      </c>
      <c r="E16" s="103"/>
      <c r="F16" s="103"/>
      <c r="G16" s="103" t="str">
        <f t="shared" si="2"/>
        <v/>
      </c>
      <c r="H16" s="103" t="str">
        <f t="shared" si="3"/>
        <v/>
      </c>
    </row>
    <row r="17" spans="1:8" x14ac:dyDescent="0.25">
      <c r="A17" s="102" t="s">
        <v>247</v>
      </c>
      <c r="B17" s="103" t="str">
        <f t="shared" si="0"/>
        <v/>
      </c>
      <c r="C17" s="103" t="str">
        <f>IF(LEN(B17)&gt;0,MAX(C$2:C16)+1,"")</f>
        <v/>
      </c>
      <c r="D17" s="103" t="str">
        <f t="shared" si="1"/>
        <v/>
      </c>
      <c r="E17" s="103"/>
      <c r="F17" s="103"/>
      <c r="G17" s="103" t="str">
        <f t="shared" si="2"/>
        <v/>
      </c>
      <c r="H17" s="103" t="str">
        <f t="shared" si="3"/>
        <v/>
      </c>
    </row>
    <row r="18" spans="1:8" x14ac:dyDescent="0.25">
      <c r="A18" s="102" t="s">
        <v>248</v>
      </c>
      <c r="B18" s="103" t="str">
        <f t="shared" si="0"/>
        <v/>
      </c>
      <c r="C18" s="103" t="str">
        <f>IF(LEN(B18)&gt;0,MAX(C$2:C17)+1,"")</f>
        <v/>
      </c>
      <c r="D18" s="103" t="str">
        <f t="shared" si="1"/>
        <v/>
      </c>
      <c r="E18" s="103"/>
      <c r="F18" s="103"/>
      <c r="G18" s="103" t="str">
        <f t="shared" si="2"/>
        <v/>
      </c>
      <c r="H18" s="103" t="str">
        <f t="shared" si="3"/>
        <v/>
      </c>
    </row>
    <row r="19" spans="1:8" x14ac:dyDescent="0.25">
      <c r="A19" s="102" t="s">
        <v>249</v>
      </c>
      <c r="B19" s="103" t="str">
        <f t="shared" si="0"/>
        <v/>
      </c>
      <c r="C19" s="103" t="str">
        <f>IF(LEN(B19)&gt;0,MAX(C$2:C18)+1,"")</f>
        <v/>
      </c>
      <c r="D19" s="103" t="str">
        <f t="shared" si="1"/>
        <v/>
      </c>
      <c r="E19" s="103"/>
      <c r="F19" s="103"/>
      <c r="G19" s="103" t="str">
        <f t="shared" si="2"/>
        <v/>
      </c>
      <c r="H19" s="103" t="str">
        <f t="shared" si="3"/>
        <v/>
      </c>
    </row>
    <row r="20" spans="1:8" x14ac:dyDescent="0.25">
      <c r="A20" s="102" t="s">
        <v>250</v>
      </c>
      <c r="B20" s="103" t="str">
        <f t="shared" si="0"/>
        <v/>
      </c>
      <c r="C20" s="103" t="str">
        <f>IF(LEN(B20)&gt;0,MAX(C$2:C19)+1,"")</f>
        <v/>
      </c>
      <c r="D20" s="103" t="str">
        <f t="shared" si="1"/>
        <v/>
      </c>
      <c r="E20" s="103"/>
      <c r="F20" s="103"/>
      <c r="G20" s="103" t="str">
        <f t="shared" si="2"/>
        <v/>
      </c>
      <c r="H20" s="103" t="str">
        <f t="shared" si="3"/>
        <v/>
      </c>
    </row>
    <row r="21" spans="1:8" x14ac:dyDescent="0.25">
      <c r="A21" s="102" t="s">
        <v>251</v>
      </c>
      <c r="B21" s="103" t="str">
        <f t="shared" si="0"/>
        <v>NotStarted</v>
      </c>
      <c r="C21" s="103">
        <f>IF(LEN(B21)&gt;0,MAX(C$2:C20)+1,"")</f>
        <v>1</v>
      </c>
      <c r="D21" s="103" t="str">
        <f t="shared" si="1"/>
        <v>0x00000001</v>
      </c>
      <c r="E21" s="103" t="s">
        <v>283</v>
      </c>
      <c r="F21" s="103" t="s">
        <v>284</v>
      </c>
      <c r="G21" s="103" t="s">
        <v>286</v>
      </c>
      <c r="H21" s="103" t="b">
        <v>1</v>
      </c>
    </row>
    <row r="22" spans="1:8" x14ac:dyDescent="0.25">
      <c r="A22" s="102"/>
      <c r="B22" s="103" t="str">
        <f t="shared" si="0"/>
        <v/>
      </c>
      <c r="C22" s="103" t="str">
        <f>IF(LEN(B22)&gt;0,MAX(C$2:C21)+1,"")</f>
        <v/>
      </c>
      <c r="D22" s="103" t="str">
        <f t="shared" si="1"/>
        <v/>
      </c>
      <c r="E22" s="103"/>
      <c r="F22" s="103"/>
      <c r="G22" s="103" t="str">
        <f t="shared" si="2"/>
        <v/>
      </c>
      <c r="H22" s="103" t="str">
        <f t="shared" si="3"/>
        <v/>
      </c>
    </row>
    <row r="23" spans="1:8" x14ac:dyDescent="0.25">
      <c r="A23" s="102" t="s">
        <v>246</v>
      </c>
      <c r="B23" s="103" t="str">
        <f t="shared" si="0"/>
        <v/>
      </c>
      <c r="C23" s="103" t="str">
        <f>IF(LEN(B23)&gt;0,MAX(C$2:C22)+1,"")</f>
        <v/>
      </c>
      <c r="D23" s="103" t="str">
        <f t="shared" si="1"/>
        <v/>
      </c>
      <c r="E23" s="103"/>
      <c r="F23" s="103"/>
      <c r="G23" s="103" t="str">
        <f t="shared" si="2"/>
        <v/>
      </c>
      <c r="H23" s="103" t="str">
        <f t="shared" si="3"/>
        <v/>
      </c>
    </row>
    <row r="24" spans="1:8" x14ac:dyDescent="0.25">
      <c r="A24" s="102" t="s">
        <v>252</v>
      </c>
      <c r="B24" s="103" t="str">
        <f t="shared" si="0"/>
        <v/>
      </c>
      <c r="C24" s="103" t="str">
        <f>IF(LEN(B24)&gt;0,MAX(C$2:C23)+1,"")</f>
        <v/>
      </c>
      <c r="D24" s="103" t="str">
        <f t="shared" si="1"/>
        <v/>
      </c>
      <c r="E24" s="103"/>
      <c r="F24" s="103"/>
      <c r="G24" s="103" t="str">
        <f t="shared" si="2"/>
        <v/>
      </c>
      <c r="H24" s="103" t="str">
        <f t="shared" si="3"/>
        <v/>
      </c>
    </row>
    <row r="25" spans="1:8" x14ac:dyDescent="0.25">
      <c r="A25" s="102" t="s">
        <v>253</v>
      </c>
      <c r="B25" s="103" t="str">
        <f t="shared" si="0"/>
        <v/>
      </c>
      <c r="C25" s="103" t="str">
        <f>IF(LEN(B25)&gt;0,MAX(C$2:C24)+1,"")</f>
        <v/>
      </c>
      <c r="D25" s="103" t="str">
        <f t="shared" si="1"/>
        <v/>
      </c>
      <c r="E25" s="103"/>
      <c r="F25" s="103"/>
      <c r="G25" s="103" t="str">
        <f t="shared" si="2"/>
        <v/>
      </c>
      <c r="H25" s="103" t="str">
        <f t="shared" si="3"/>
        <v/>
      </c>
    </row>
    <row r="26" spans="1:8" x14ac:dyDescent="0.25">
      <c r="A26" s="102" t="s">
        <v>250</v>
      </c>
      <c r="B26" s="103" t="str">
        <f t="shared" si="0"/>
        <v/>
      </c>
      <c r="C26" s="103" t="str">
        <f>IF(LEN(B26)&gt;0,MAX(C$2:C25)+1,"")</f>
        <v/>
      </c>
      <c r="D26" s="103" t="str">
        <f t="shared" si="1"/>
        <v/>
      </c>
      <c r="E26" s="103"/>
      <c r="F26" s="103"/>
      <c r="G26" s="103" t="str">
        <f t="shared" si="2"/>
        <v/>
      </c>
      <c r="H26" s="103" t="str">
        <f t="shared" si="3"/>
        <v/>
      </c>
    </row>
    <row r="27" spans="1:8" x14ac:dyDescent="0.25">
      <c r="A27" s="102" t="s">
        <v>254</v>
      </c>
      <c r="B27" s="103" t="str">
        <f t="shared" si="0"/>
        <v>ProcessingLiterals</v>
      </c>
      <c r="C27" s="103">
        <f>IF(LEN(B27)&gt;0,MAX(C$2:C26)+1,"")</f>
        <v>2</v>
      </c>
      <c r="D27" s="103" t="str">
        <f t="shared" si="1"/>
        <v>0x00000002</v>
      </c>
      <c r="E27" s="103" t="s">
        <v>283</v>
      </c>
      <c r="F27" s="103" t="s">
        <v>284</v>
      </c>
      <c r="G27" s="103" t="s">
        <v>286</v>
      </c>
      <c r="H27" s="103" t="b">
        <v>1</v>
      </c>
    </row>
    <row r="28" spans="1:8" x14ac:dyDescent="0.25">
      <c r="A28" s="102"/>
      <c r="B28" s="103" t="str">
        <f t="shared" si="0"/>
        <v/>
      </c>
      <c r="C28" s="103" t="str">
        <f>IF(LEN(B28)&gt;0,MAX(C$2:C27)+1,"")</f>
        <v/>
      </c>
      <c r="D28" s="103" t="str">
        <f t="shared" si="1"/>
        <v/>
      </c>
      <c r="E28" s="103"/>
      <c r="F28" s="103"/>
      <c r="G28" s="103" t="str">
        <f t="shared" si="2"/>
        <v/>
      </c>
      <c r="H28" s="103" t="str">
        <f t="shared" si="3"/>
        <v/>
      </c>
    </row>
    <row r="29" spans="1:8" x14ac:dyDescent="0.25">
      <c r="A29" s="102" t="s">
        <v>246</v>
      </c>
      <c r="B29" s="103" t="str">
        <f t="shared" si="0"/>
        <v/>
      </c>
      <c r="C29" s="103" t="str">
        <f>IF(LEN(B29)&gt;0,MAX(C$2:C28)+1,"")</f>
        <v/>
      </c>
      <c r="D29" s="103" t="str">
        <f t="shared" si="1"/>
        <v/>
      </c>
      <c r="E29" s="103"/>
      <c r="F29" s="103"/>
      <c r="G29" s="103" t="str">
        <f t="shared" si="2"/>
        <v/>
      </c>
      <c r="H29" s="103" t="str">
        <f t="shared" si="3"/>
        <v/>
      </c>
    </row>
    <row r="30" spans="1:8" x14ac:dyDescent="0.25">
      <c r="A30" s="102" t="s">
        <v>255</v>
      </c>
      <c r="B30" s="103" t="str">
        <f t="shared" si="0"/>
        <v/>
      </c>
      <c r="C30" s="103" t="str">
        <f>IF(LEN(B30)&gt;0,MAX(C$2:C29)+1,"")</f>
        <v/>
      </c>
      <c r="D30" s="103" t="str">
        <f t="shared" si="1"/>
        <v/>
      </c>
      <c r="E30" s="103"/>
      <c r="F30" s="103"/>
      <c r="G30" s="103" t="str">
        <f t="shared" si="2"/>
        <v/>
      </c>
      <c r="H30" s="103" t="str">
        <f t="shared" si="3"/>
        <v/>
      </c>
    </row>
    <row r="31" spans="1:8" x14ac:dyDescent="0.25">
      <c r="A31" s="102" t="s">
        <v>256</v>
      </c>
      <c r="B31" s="103" t="str">
        <f t="shared" si="0"/>
        <v/>
      </c>
      <c r="C31" s="103" t="str">
        <f>IF(LEN(B31)&gt;0,MAX(C$2:C30)+1,"")</f>
        <v/>
      </c>
      <c r="D31" s="103" t="str">
        <f t="shared" si="1"/>
        <v/>
      </c>
      <c r="E31" s="103"/>
      <c r="F31" s="103"/>
      <c r="G31" s="103" t="str">
        <f t="shared" si="2"/>
        <v/>
      </c>
      <c r="H31" s="103" t="str">
        <f t="shared" si="3"/>
        <v/>
      </c>
    </row>
    <row r="32" spans="1:8" x14ac:dyDescent="0.25">
      <c r="A32" s="102" t="s">
        <v>250</v>
      </c>
      <c r="B32" s="103" t="str">
        <f t="shared" si="0"/>
        <v/>
      </c>
      <c r="C32" s="103" t="str">
        <f>IF(LEN(B32)&gt;0,MAX(C$2:C31)+1,"")</f>
        <v/>
      </c>
      <c r="D32" s="103" t="str">
        <f t="shared" si="1"/>
        <v/>
      </c>
      <c r="E32" s="103"/>
      <c r="F32" s="103"/>
      <c r="G32" s="103" t="str">
        <f t="shared" si="2"/>
        <v/>
      </c>
      <c r="H32" s="103" t="str">
        <f t="shared" si="3"/>
        <v/>
      </c>
    </row>
    <row r="33" spans="1:8" x14ac:dyDescent="0.25">
      <c r="A33" s="102" t="s">
        <v>257</v>
      </c>
      <c r="B33" s="103" t="str">
        <f t="shared" si="0"/>
        <v>ItemBegin</v>
      </c>
      <c r="C33" s="103">
        <f>IF(LEN(B33)&gt;0,MAX(C$2:C32)+1,"")</f>
        <v>3</v>
      </c>
      <c r="D33" s="103" t="str">
        <f t="shared" si="1"/>
        <v>0x00000003</v>
      </c>
      <c r="E33" s="103" t="s">
        <v>283</v>
      </c>
      <c r="F33" s="103" t="s">
        <v>284</v>
      </c>
      <c r="G33" s="103" t="s">
        <v>286</v>
      </c>
      <c r="H33" s="103" t="b">
        <v>1</v>
      </c>
    </row>
    <row r="34" spans="1:8" x14ac:dyDescent="0.25">
      <c r="A34" s="102"/>
      <c r="B34" s="103" t="str">
        <f t="shared" si="0"/>
        <v/>
      </c>
      <c r="C34" s="103" t="str">
        <f>IF(LEN(B34)&gt;0,MAX(C$2:C33)+1,"")</f>
        <v/>
      </c>
      <c r="D34" s="103" t="str">
        <f t="shared" si="1"/>
        <v/>
      </c>
      <c r="E34" s="103"/>
      <c r="F34" s="103"/>
      <c r="G34" s="103" t="str">
        <f t="shared" ref="G34:G74" si="4">IF(AND(LEN(E34)&gt;0,LEN(F34)&gt;0),CONCATENATE("const char ",F34,"='",E34,"';"),"")</f>
        <v/>
      </c>
      <c r="H34" s="103" t="str">
        <f t="shared" ref="H34:H74" si="5">IF(LEN(G34)&gt;0,FALSE,"")</f>
        <v/>
      </c>
    </row>
    <row r="35" spans="1:8" x14ac:dyDescent="0.25">
      <c r="A35" s="102" t="s">
        <v>246</v>
      </c>
      <c r="B35" s="103" t="str">
        <f t="shared" si="0"/>
        <v/>
      </c>
      <c r="C35" s="103" t="str">
        <f>IF(LEN(B35)&gt;0,MAX(C$2:C34)+1,"")</f>
        <v/>
      </c>
      <c r="D35" s="103" t="str">
        <f t="shared" si="1"/>
        <v/>
      </c>
      <c r="E35" s="103"/>
      <c r="F35" s="103"/>
      <c r="G35" s="103" t="str">
        <f t="shared" si="4"/>
        <v/>
      </c>
      <c r="H35" s="103" t="str">
        <f t="shared" si="5"/>
        <v/>
      </c>
    </row>
    <row r="36" spans="1:8" x14ac:dyDescent="0.25">
      <c r="A36" s="102" t="s">
        <v>258</v>
      </c>
      <c r="B36" s="103" t="str">
        <f t="shared" si="0"/>
        <v/>
      </c>
      <c r="C36" s="103" t="str">
        <f>IF(LEN(B36)&gt;0,MAX(C$2:C35)+1,"")</f>
        <v/>
      </c>
      <c r="D36" s="103" t="str">
        <f t="shared" si="1"/>
        <v/>
      </c>
      <c r="E36" s="103"/>
      <c r="F36" s="103"/>
      <c r="G36" s="103" t="str">
        <f t="shared" si="4"/>
        <v/>
      </c>
      <c r="H36" s="103" t="str">
        <f t="shared" si="5"/>
        <v/>
      </c>
    </row>
    <row r="37" spans="1:8" x14ac:dyDescent="0.25">
      <c r="A37" s="102" t="s">
        <v>259</v>
      </c>
      <c r="B37" s="103" t="str">
        <f t="shared" si="0"/>
        <v/>
      </c>
      <c r="C37" s="103" t="str">
        <f>IF(LEN(B37)&gt;0,MAX(C$2:C36)+1,"")</f>
        <v/>
      </c>
      <c r="D37" s="103" t="str">
        <f t="shared" si="1"/>
        <v/>
      </c>
      <c r="E37" s="103"/>
      <c r="F37" s="103"/>
      <c r="G37" s="103" t="str">
        <f t="shared" si="4"/>
        <v/>
      </c>
      <c r="H37" s="103" t="str">
        <f t="shared" si="5"/>
        <v/>
      </c>
    </row>
    <row r="38" spans="1:8" x14ac:dyDescent="0.25">
      <c r="A38" s="102" t="s">
        <v>250</v>
      </c>
      <c r="B38" s="103" t="str">
        <f t="shared" si="0"/>
        <v/>
      </c>
      <c r="C38" s="103" t="str">
        <f>IF(LEN(B38)&gt;0,MAX(C$2:C37)+1,"")</f>
        <v/>
      </c>
      <c r="D38" s="103" t="str">
        <f t="shared" si="1"/>
        <v/>
      </c>
      <c r="E38" s="103"/>
      <c r="F38" s="103"/>
      <c r="G38" s="103" t="str">
        <f t="shared" si="4"/>
        <v/>
      </c>
      <c r="H38" s="103" t="str">
        <f t="shared" si="5"/>
        <v/>
      </c>
    </row>
    <row r="39" spans="1:8" x14ac:dyDescent="0.25">
      <c r="A39" s="102" t="s">
        <v>260</v>
      </c>
      <c r="B39" s="103" t="str">
        <f t="shared" si="0"/>
        <v>IndexComponet</v>
      </c>
      <c r="C39" s="103">
        <f>IF(LEN(B39)&gt;0,MAX(C$2:C38)+1,"")</f>
        <v>4</v>
      </c>
      <c r="D39" s="103" t="str">
        <f t="shared" si="1"/>
        <v>0x00000004</v>
      </c>
      <c r="E39" s="103" t="s">
        <v>300</v>
      </c>
      <c r="F39" s="103"/>
      <c r="G39" s="103"/>
      <c r="H39" s="103" t="b">
        <v>1</v>
      </c>
    </row>
    <row r="40" spans="1:8" x14ac:dyDescent="0.25">
      <c r="A40" s="102"/>
      <c r="B40" s="103" t="str">
        <f t="shared" si="0"/>
        <v/>
      </c>
      <c r="C40" s="103" t="str">
        <f>IF(LEN(B40)&gt;0,MAX(C$2:C39)+1,"")</f>
        <v/>
      </c>
      <c r="D40" s="103" t="str">
        <f t="shared" si="1"/>
        <v/>
      </c>
      <c r="E40" s="103"/>
      <c r="F40" s="103"/>
      <c r="G40" s="103" t="str">
        <f t="shared" si="4"/>
        <v/>
      </c>
      <c r="H40" s="103" t="str">
        <f t="shared" si="5"/>
        <v/>
      </c>
    </row>
    <row r="41" spans="1:8" x14ac:dyDescent="0.25">
      <c r="A41" s="102" t="s">
        <v>246</v>
      </c>
      <c r="B41" s="103" t="str">
        <f t="shared" si="0"/>
        <v/>
      </c>
      <c r="C41" s="103" t="str">
        <f>IF(LEN(B41)&gt;0,MAX(C$2:C40)+1,"")</f>
        <v/>
      </c>
      <c r="D41" s="103" t="str">
        <f t="shared" si="1"/>
        <v/>
      </c>
      <c r="E41" s="103"/>
      <c r="F41" s="103"/>
      <c r="G41" s="103" t="str">
        <f t="shared" si="4"/>
        <v/>
      </c>
      <c r="H41" s="103" t="str">
        <f t="shared" si="5"/>
        <v/>
      </c>
    </row>
    <row r="42" spans="1:8" x14ac:dyDescent="0.25">
      <c r="A42" s="102" t="s">
        <v>261</v>
      </c>
      <c r="B42" s="103" t="str">
        <f t="shared" si="0"/>
        <v/>
      </c>
      <c r="C42" s="103" t="str">
        <f>IF(LEN(B42)&gt;0,MAX(C$2:C41)+1,"")</f>
        <v/>
      </c>
      <c r="D42" s="103" t="str">
        <f t="shared" si="1"/>
        <v/>
      </c>
      <c r="E42" s="103"/>
      <c r="F42" s="103"/>
      <c r="G42" s="103" t="str">
        <f t="shared" si="4"/>
        <v/>
      </c>
      <c r="H42" s="103" t="str">
        <f t="shared" si="5"/>
        <v/>
      </c>
    </row>
    <row r="43" spans="1:8" x14ac:dyDescent="0.25">
      <c r="A43" s="102" t="s">
        <v>262</v>
      </c>
      <c r="B43" s="103" t="str">
        <f t="shared" si="0"/>
        <v/>
      </c>
      <c r="C43" s="103" t="str">
        <f>IF(LEN(B43)&gt;0,MAX(C$2:C42)+1,"")</f>
        <v/>
      </c>
      <c r="D43" s="103" t="str">
        <f t="shared" si="1"/>
        <v/>
      </c>
      <c r="E43" s="103"/>
      <c r="F43" s="103"/>
      <c r="G43" s="103" t="str">
        <f t="shared" si="4"/>
        <v/>
      </c>
      <c r="H43" s="103" t="str">
        <f t="shared" si="5"/>
        <v/>
      </c>
    </row>
    <row r="44" spans="1:8" x14ac:dyDescent="0.25">
      <c r="A44" s="102" t="s">
        <v>250</v>
      </c>
      <c r="B44" s="103" t="str">
        <f t="shared" si="0"/>
        <v/>
      </c>
      <c r="C44" s="103" t="str">
        <f>IF(LEN(B44)&gt;0,MAX(C$2:C43)+1,"")</f>
        <v/>
      </c>
      <c r="D44" s="103" t="str">
        <f t="shared" si="1"/>
        <v/>
      </c>
      <c r="E44" s="103"/>
      <c r="F44" s="103"/>
      <c r="G44" s="103" t="str">
        <f t="shared" si="4"/>
        <v/>
      </c>
      <c r="H44" s="103" t="str">
        <f t="shared" si="5"/>
        <v/>
      </c>
    </row>
    <row r="45" spans="1:8" x14ac:dyDescent="0.25">
      <c r="A45" s="102" t="s">
        <v>263</v>
      </c>
      <c r="B45" s="103" t="str">
        <f t="shared" si="0"/>
        <v>AlignmentBegin</v>
      </c>
      <c r="C45" s="103">
        <f>IF(LEN(B45)&gt;0,MAX(C$2:C44)+1,"")</f>
        <v>5</v>
      </c>
      <c r="D45" s="103" t="str">
        <f t="shared" si="1"/>
        <v>0x00000005</v>
      </c>
      <c r="E45" s="103" t="s">
        <v>290</v>
      </c>
      <c r="F45" s="103" t="s">
        <v>291</v>
      </c>
      <c r="G45" s="103" t="s">
        <v>292</v>
      </c>
      <c r="H45" s="103" t="b">
        <v>1</v>
      </c>
    </row>
    <row r="46" spans="1:8" s="100" customFormat="1" x14ac:dyDescent="0.25">
      <c r="A46" s="102"/>
      <c r="B46" s="103" t="str">
        <f t="shared" si="0"/>
        <v/>
      </c>
      <c r="C46" s="103" t="str">
        <f>IF(LEN(B46)&gt;0,MAX(C$2:C45)+1,"")</f>
        <v/>
      </c>
      <c r="D46" s="103" t="str">
        <f t="shared" si="1"/>
        <v/>
      </c>
      <c r="E46" s="103"/>
      <c r="F46" s="103"/>
      <c r="G46" s="103" t="str">
        <f t="shared" si="4"/>
        <v/>
      </c>
      <c r="H46" s="103" t="str">
        <f t="shared" si="5"/>
        <v/>
      </c>
    </row>
    <row r="47" spans="1:8" s="100" customFormat="1" x14ac:dyDescent="0.25">
      <c r="A47" s="102" t="s">
        <v>246</v>
      </c>
      <c r="B47" s="103" t="str">
        <f t="shared" si="0"/>
        <v/>
      </c>
      <c r="C47" s="103" t="str">
        <f>IF(LEN(B47)&gt;0,MAX(C$2:C46)+1,"")</f>
        <v/>
      </c>
      <c r="D47" s="103" t="str">
        <f t="shared" si="1"/>
        <v/>
      </c>
      <c r="E47" s="103"/>
      <c r="F47" s="103"/>
      <c r="G47" s="103" t="str">
        <f t="shared" si="4"/>
        <v/>
      </c>
      <c r="H47" s="103" t="str">
        <f t="shared" si="5"/>
        <v/>
      </c>
    </row>
    <row r="48" spans="1:8" s="100" customFormat="1" x14ac:dyDescent="0.25">
      <c r="A48" s="102" t="s">
        <v>293</v>
      </c>
      <c r="B48" s="103" t="str">
        <f t="shared" si="0"/>
        <v/>
      </c>
      <c r="C48" s="103" t="str">
        <f>IF(LEN(B48)&gt;0,MAX(C$2:C47)+1,"")</f>
        <v/>
      </c>
      <c r="D48" s="103" t="str">
        <f t="shared" si="1"/>
        <v/>
      </c>
      <c r="E48" s="103"/>
      <c r="F48" s="103"/>
      <c r="G48" s="103" t="str">
        <f t="shared" si="4"/>
        <v/>
      </c>
      <c r="H48" s="103" t="str">
        <f t="shared" si="5"/>
        <v/>
      </c>
    </row>
    <row r="49" spans="1:8" s="100" customFormat="1" x14ac:dyDescent="0.25">
      <c r="A49" s="102" t="s">
        <v>294</v>
      </c>
      <c r="B49" s="103" t="str">
        <f t="shared" si="0"/>
        <v/>
      </c>
      <c r="C49" s="103" t="str">
        <f>IF(LEN(B49)&gt;0,MAX(C$2:C48)+1,"")</f>
        <v/>
      </c>
      <c r="D49" s="103" t="str">
        <f t="shared" si="1"/>
        <v/>
      </c>
      <c r="E49" s="103"/>
      <c r="F49" s="103"/>
      <c r="G49" s="103" t="str">
        <f t="shared" si="4"/>
        <v/>
      </c>
      <c r="H49" s="103" t="str">
        <f t="shared" si="5"/>
        <v/>
      </c>
    </row>
    <row r="50" spans="1:8" s="100" customFormat="1" x14ac:dyDescent="0.25">
      <c r="A50" s="102" t="s">
        <v>295</v>
      </c>
      <c r="B50" s="103" t="str">
        <f t="shared" si="0"/>
        <v/>
      </c>
      <c r="C50" s="103" t="str">
        <f>IF(LEN(B50)&gt;0,MAX(C$2:C49)+1,"")</f>
        <v/>
      </c>
      <c r="D50" s="103" t="str">
        <f t="shared" si="1"/>
        <v/>
      </c>
      <c r="E50" s="103"/>
      <c r="F50" s="103"/>
      <c r="G50" s="103" t="str">
        <f t="shared" si="4"/>
        <v/>
      </c>
      <c r="H50" s="103" t="str">
        <f t="shared" si="5"/>
        <v/>
      </c>
    </row>
    <row r="51" spans="1:8" s="100" customFormat="1" x14ac:dyDescent="0.25">
      <c r="A51" s="102" t="s">
        <v>250</v>
      </c>
      <c r="B51" s="103" t="str">
        <f t="shared" si="0"/>
        <v/>
      </c>
      <c r="C51" s="103" t="str">
        <f>IF(LEN(B51)&gt;0,MAX(C$2:C50)+1,"")</f>
        <v/>
      </c>
      <c r="D51" s="103" t="str">
        <f t="shared" si="1"/>
        <v/>
      </c>
      <c r="E51" s="103"/>
      <c r="F51" s="103"/>
      <c r="G51" s="103" t="str">
        <f t="shared" si="4"/>
        <v/>
      </c>
      <c r="H51" s="103" t="str">
        <f t="shared" si="5"/>
        <v/>
      </c>
    </row>
    <row r="52" spans="1:8" s="100" customFormat="1" x14ac:dyDescent="0.25">
      <c r="A52" s="102" t="s">
        <v>296</v>
      </c>
      <c r="B52" s="103" t="str">
        <f t="shared" si="0"/>
        <v>AlignmentFlag</v>
      </c>
      <c r="C52" s="103">
        <f>IF(LEN(B52)&gt;0,MAX(C$2:C51)+1,"")</f>
        <v>6</v>
      </c>
      <c r="D52" s="103" t="str">
        <f t="shared" si="1"/>
        <v>0x00000006</v>
      </c>
      <c r="E52" s="105"/>
      <c r="F52" s="103"/>
      <c r="G52" s="103"/>
      <c r="H52" s="103"/>
    </row>
    <row r="53" spans="1:8" s="100" customFormat="1" x14ac:dyDescent="0.25">
      <c r="A53" s="102"/>
      <c r="B53" s="103" t="str">
        <f t="shared" si="0"/>
        <v/>
      </c>
      <c r="C53" s="103" t="str">
        <f>IF(LEN(B53)&gt;0,MAX(C$2:C52)+1,"")</f>
        <v/>
      </c>
      <c r="D53" s="103"/>
      <c r="E53" s="103"/>
      <c r="F53" s="103"/>
      <c r="G53" s="103" t="str">
        <f t="shared" si="4"/>
        <v/>
      </c>
      <c r="H53" s="103" t="str">
        <f t="shared" si="5"/>
        <v/>
      </c>
    </row>
    <row r="54" spans="1:8" s="100" customFormat="1" x14ac:dyDescent="0.25">
      <c r="A54" s="102"/>
      <c r="B54" s="103" t="str">
        <f t="shared" si="0"/>
        <v/>
      </c>
      <c r="C54" s="103" t="str">
        <f>IF(LEN(B54)&gt;0,MAX(C$2:C53)+1,"")</f>
        <v/>
      </c>
      <c r="D54" s="103"/>
      <c r="E54" s="103"/>
      <c r="F54" s="103"/>
      <c r="G54" s="103" t="str">
        <f t="shared" si="4"/>
        <v/>
      </c>
      <c r="H54" s="103" t="str">
        <f t="shared" si="5"/>
        <v/>
      </c>
    </row>
    <row r="55" spans="1:8" x14ac:dyDescent="0.25">
      <c r="A55" s="102" t="s">
        <v>264</v>
      </c>
      <c r="B55" s="103" t="str">
        <f t="shared" si="0"/>
        <v>AlignmentComponent</v>
      </c>
      <c r="C55" s="103">
        <f>IF(LEN(B55)&gt;0,MAX(C$2:C54)+1,"")</f>
        <v>7</v>
      </c>
      <c r="D55" s="103" t="str">
        <f t="shared" si="1"/>
        <v>0x00000007</v>
      </c>
      <c r="E55" s="103"/>
      <c r="F55" s="103"/>
      <c r="G55" s="103"/>
      <c r="H55" s="103"/>
    </row>
    <row r="56" spans="1:8" x14ac:dyDescent="0.25">
      <c r="A56" s="102"/>
      <c r="B56" s="103" t="str">
        <f t="shared" si="0"/>
        <v/>
      </c>
      <c r="C56" s="103" t="str">
        <f>IF(LEN(B56)&gt;0,MAX(C$2:C55)+1,"")</f>
        <v/>
      </c>
      <c r="D56" s="103" t="str">
        <f t="shared" si="1"/>
        <v/>
      </c>
      <c r="E56" s="103"/>
      <c r="F56" s="103"/>
      <c r="G56" s="103" t="str">
        <f t="shared" si="4"/>
        <v/>
      </c>
      <c r="H56" s="103" t="str">
        <f t="shared" si="5"/>
        <v/>
      </c>
    </row>
    <row r="57" spans="1:8" x14ac:dyDescent="0.25">
      <c r="A57" s="102" t="s">
        <v>246</v>
      </c>
      <c r="B57" s="103" t="str">
        <f t="shared" si="0"/>
        <v/>
      </c>
      <c r="C57" s="103" t="str">
        <f>IF(LEN(B57)&gt;0,MAX(C$2:C56)+1,"")</f>
        <v/>
      </c>
      <c r="D57" s="103" t="str">
        <f t="shared" si="1"/>
        <v/>
      </c>
      <c r="E57" s="103"/>
      <c r="F57" s="103"/>
      <c r="G57" s="103" t="str">
        <f t="shared" si="4"/>
        <v/>
      </c>
      <c r="H57" s="103" t="str">
        <f t="shared" si="5"/>
        <v/>
      </c>
    </row>
    <row r="58" spans="1:8" x14ac:dyDescent="0.25">
      <c r="A58" s="102" t="s">
        <v>265</v>
      </c>
      <c r="B58" s="103" t="str">
        <f t="shared" si="0"/>
        <v/>
      </c>
      <c r="C58" s="103" t="str">
        <f>IF(LEN(B58)&gt;0,MAX(C$2:C57)+1,"")</f>
        <v/>
      </c>
      <c r="D58" s="103" t="str">
        <f t="shared" si="1"/>
        <v/>
      </c>
      <c r="E58" s="103"/>
      <c r="F58" s="103"/>
      <c r="G58" s="103" t="str">
        <f t="shared" si="4"/>
        <v/>
      </c>
      <c r="H58" s="103" t="str">
        <f t="shared" si="5"/>
        <v/>
      </c>
    </row>
    <row r="59" spans="1:8" x14ac:dyDescent="0.25">
      <c r="A59" s="102" t="s">
        <v>266</v>
      </c>
      <c r="B59" s="103" t="str">
        <f t="shared" si="0"/>
        <v/>
      </c>
      <c r="C59" s="103" t="str">
        <f>IF(LEN(B59)&gt;0,MAX(C$2:C58)+1,"")</f>
        <v/>
      </c>
      <c r="D59" s="103" t="str">
        <f t="shared" si="1"/>
        <v/>
      </c>
      <c r="E59" s="103"/>
      <c r="F59" s="103"/>
      <c r="G59" s="103" t="str">
        <f t="shared" si="4"/>
        <v/>
      </c>
      <c r="H59" s="103" t="str">
        <f t="shared" si="5"/>
        <v/>
      </c>
    </row>
    <row r="60" spans="1:8" x14ac:dyDescent="0.25">
      <c r="A60" s="102" t="s">
        <v>250</v>
      </c>
      <c r="B60" s="103" t="str">
        <f t="shared" si="0"/>
        <v/>
      </c>
      <c r="C60" s="103" t="str">
        <f>IF(LEN(B60)&gt;0,MAX(C$2:C59)+1,"")</f>
        <v/>
      </c>
      <c r="D60" s="103" t="str">
        <f t="shared" si="1"/>
        <v/>
      </c>
      <c r="E60" s="103"/>
      <c r="F60" s="103"/>
      <c r="G60" s="103" t="str">
        <f t="shared" si="4"/>
        <v/>
      </c>
      <c r="H60" s="103" t="str">
        <f t="shared" si="5"/>
        <v/>
      </c>
    </row>
    <row r="61" spans="1:8" x14ac:dyDescent="0.25">
      <c r="A61" s="102" t="s">
        <v>267</v>
      </c>
      <c r="B61" s="103" t="str">
        <f t="shared" si="0"/>
        <v>FormatBegin</v>
      </c>
      <c r="C61" s="103">
        <f>IF(LEN(B61)&gt;0,MAX(C$2:C60)+1,"")</f>
        <v>8</v>
      </c>
      <c r="D61" s="103" t="str">
        <f t="shared" si="1"/>
        <v>0x00000008</v>
      </c>
      <c r="E61" s="103" t="s">
        <v>299</v>
      </c>
      <c r="F61" s="103" t="s">
        <v>298</v>
      </c>
      <c r="G61" s="103" t="s">
        <v>297</v>
      </c>
      <c r="H61" s="103" t="b">
        <v>1</v>
      </c>
    </row>
    <row r="62" spans="1:8" x14ac:dyDescent="0.25">
      <c r="A62" s="102"/>
      <c r="B62" s="103" t="str">
        <f t="shared" si="0"/>
        <v/>
      </c>
      <c r="C62" s="103" t="str">
        <f>IF(LEN(B62)&gt;0,MAX(C$2:C61)+1,"")</f>
        <v/>
      </c>
      <c r="D62" s="103" t="str">
        <f t="shared" si="1"/>
        <v/>
      </c>
      <c r="E62" s="103"/>
      <c r="F62" s="103"/>
      <c r="G62" s="103" t="str">
        <f t="shared" si="4"/>
        <v/>
      </c>
      <c r="H62" s="103" t="str">
        <f t="shared" si="5"/>
        <v/>
      </c>
    </row>
    <row r="63" spans="1:8" x14ac:dyDescent="0.25">
      <c r="A63" s="102" t="s">
        <v>246</v>
      </c>
      <c r="B63" s="103" t="str">
        <f t="shared" si="0"/>
        <v/>
      </c>
      <c r="C63" s="103" t="str">
        <f>IF(LEN(B63)&gt;0,MAX(C$2:C62)+1,"")</f>
        <v/>
      </c>
      <c r="D63" s="103" t="str">
        <f t="shared" si="1"/>
        <v/>
      </c>
      <c r="E63" s="103"/>
      <c r="F63" s="103"/>
      <c r="G63" s="103" t="str">
        <f t="shared" si="4"/>
        <v/>
      </c>
      <c r="H63" s="103" t="str">
        <f t="shared" si="5"/>
        <v/>
      </c>
    </row>
    <row r="64" spans="1:8" x14ac:dyDescent="0.25">
      <c r="A64" s="102" t="s">
        <v>268</v>
      </c>
      <c r="B64" s="103" t="str">
        <f t="shared" si="0"/>
        <v/>
      </c>
      <c r="C64" s="103" t="str">
        <f>IF(LEN(B64)&gt;0,MAX(C$2:C63)+1,"")</f>
        <v/>
      </c>
      <c r="D64" s="103" t="str">
        <f t="shared" si="1"/>
        <v/>
      </c>
      <c r="E64" s="103"/>
      <c r="F64" s="103"/>
      <c r="G64" s="103" t="str">
        <f t="shared" si="4"/>
        <v/>
      </c>
      <c r="H64" s="103" t="str">
        <f t="shared" si="5"/>
        <v/>
      </c>
    </row>
    <row r="65" spans="1:8" x14ac:dyDescent="0.25">
      <c r="A65" s="102" t="s">
        <v>269</v>
      </c>
      <c r="B65" s="103" t="str">
        <f t="shared" si="0"/>
        <v/>
      </c>
      <c r="C65" s="103" t="str">
        <f>IF(LEN(B65)&gt;0,MAX(C$2:C64)+1,"")</f>
        <v/>
      </c>
      <c r="D65" s="103" t="str">
        <f t="shared" si="1"/>
        <v/>
      </c>
      <c r="E65" s="103"/>
      <c r="F65" s="103"/>
      <c r="G65" s="103" t="str">
        <f t="shared" si="4"/>
        <v/>
      </c>
      <c r="H65" s="103" t="str">
        <f t="shared" si="5"/>
        <v/>
      </c>
    </row>
    <row r="66" spans="1:8" x14ac:dyDescent="0.25">
      <c r="A66" s="102" t="s">
        <v>250</v>
      </c>
      <c r="B66" s="103" t="str">
        <f t="shared" si="0"/>
        <v/>
      </c>
      <c r="C66" s="103" t="str">
        <f>IF(LEN(B66)&gt;0,MAX(C$2:C65)+1,"")</f>
        <v/>
      </c>
      <c r="D66" s="103" t="str">
        <f t="shared" si="1"/>
        <v/>
      </c>
      <c r="E66" s="103"/>
      <c r="F66" s="103"/>
      <c r="G66" s="103" t="str">
        <f t="shared" si="4"/>
        <v/>
      </c>
      <c r="H66" s="103" t="str">
        <f t="shared" si="5"/>
        <v/>
      </c>
    </row>
    <row r="67" spans="1:8" x14ac:dyDescent="0.25">
      <c r="A67" s="102" t="s">
        <v>270</v>
      </c>
      <c r="B67" s="103" t="str">
        <f t="shared" si="0"/>
        <v>FormatString</v>
      </c>
      <c r="C67" s="103">
        <f>IF(LEN(B67)&gt;0,MAX(C$2:C66)+1,"")</f>
        <v>9</v>
      </c>
      <c r="D67" s="103" t="str">
        <f t="shared" si="1"/>
        <v>0x00000009</v>
      </c>
      <c r="E67" s="103"/>
      <c r="F67" s="103"/>
      <c r="G67" s="103"/>
      <c r="H67" s="103"/>
    </row>
    <row r="68" spans="1:8" x14ac:dyDescent="0.25">
      <c r="A68" s="102"/>
      <c r="B68" s="103" t="str">
        <f t="shared" si="0"/>
        <v/>
      </c>
      <c r="C68" s="103" t="str">
        <f>IF(LEN(B68)&gt;0,MAX(C$2:C67)+1,"")</f>
        <v/>
      </c>
      <c r="D68" s="103" t="str">
        <f t="shared" si="1"/>
        <v/>
      </c>
      <c r="E68" s="103"/>
      <c r="F68" s="103"/>
      <c r="G68" s="103" t="str">
        <f t="shared" si="4"/>
        <v/>
      </c>
      <c r="H68" s="103" t="str">
        <f t="shared" si="5"/>
        <v/>
      </c>
    </row>
    <row r="69" spans="1:8" x14ac:dyDescent="0.25">
      <c r="A69" s="102" t="s">
        <v>246</v>
      </c>
      <c r="B69" s="103" t="str">
        <f t="shared" si="0"/>
        <v/>
      </c>
      <c r="C69" s="103" t="str">
        <f>IF(LEN(B69)&gt;0,MAX(C$2:C68)+1,"")</f>
        <v/>
      </c>
      <c r="D69" s="103" t="str">
        <f t="shared" si="1"/>
        <v/>
      </c>
      <c r="E69" s="103"/>
      <c r="F69" s="103"/>
      <c r="G69" s="103" t="str">
        <f t="shared" si="4"/>
        <v/>
      </c>
      <c r="H69" s="103" t="str">
        <f t="shared" si="5"/>
        <v/>
      </c>
    </row>
    <row r="70" spans="1:8" x14ac:dyDescent="0.25">
      <c r="A70" s="102" t="s">
        <v>271</v>
      </c>
      <c r="B70" s="103" t="str">
        <f t="shared" si="0"/>
        <v/>
      </c>
      <c r="C70" s="103" t="str">
        <f>IF(LEN(B70)&gt;0,MAX(C$2:C69)+1,"")</f>
        <v/>
      </c>
      <c r="D70" s="103" t="str">
        <f t="shared" si="1"/>
        <v/>
      </c>
      <c r="E70" s="103"/>
      <c r="F70" s="103"/>
      <c r="G70" s="103" t="str">
        <f t="shared" si="4"/>
        <v/>
      </c>
      <c r="H70" s="103" t="str">
        <f t="shared" si="5"/>
        <v/>
      </c>
    </row>
    <row r="71" spans="1:8" x14ac:dyDescent="0.25">
      <c r="A71" s="102" t="s">
        <v>272</v>
      </c>
      <c r="B71" s="103" t="str">
        <f t="shared" si="0"/>
        <v/>
      </c>
      <c r="C71" s="103" t="str">
        <f>IF(LEN(B71)&gt;0,MAX(C$2:C70)+1,"")</f>
        <v/>
      </c>
      <c r="D71" s="103" t="str">
        <f t="shared" si="1"/>
        <v/>
      </c>
      <c r="E71" s="103"/>
      <c r="F71" s="103"/>
      <c r="G71" s="103" t="str">
        <f t="shared" si="4"/>
        <v/>
      </c>
      <c r="H71" s="103" t="str">
        <f t="shared" si="5"/>
        <v/>
      </c>
    </row>
    <row r="72" spans="1:8" x14ac:dyDescent="0.25">
      <c r="A72" s="102" t="s">
        <v>250</v>
      </c>
      <c r="B72" s="103" t="str">
        <f t="shared" si="0"/>
        <v/>
      </c>
      <c r="C72" s="103" t="str">
        <f>IF(LEN(B72)&gt;0,MAX(C$2:C71)+1,"")</f>
        <v/>
      </c>
      <c r="D72" s="103" t="str">
        <f t="shared" si="1"/>
        <v/>
      </c>
      <c r="E72" s="103"/>
      <c r="F72" s="103"/>
      <c r="G72" s="103" t="str">
        <f t="shared" si="4"/>
        <v/>
      </c>
      <c r="H72" s="103" t="str">
        <f t="shared" si="5"/>
        <v/>
      </c>
    </row>
    <row r="73" spans="1:8" x14ac:dyDescent="0.25">
      <c r="A73" s="102" t="s">
        <v>273</v>
      </c>
      <c r="B73" s="103" t="str">
        <f t="shared" ref="B73:B74" si="6">IF(AND(ISERROR(FIND("///",$A73)),NOT(ISERROR(FIND(",",$A73)))),TRIM(LEFT($A73,FIND(",",$A73)-1)),"")</f>
        <v/>
      </c>
      <c r="C73" s="103" t="str">
        <f>IF(LEN(B73)&gt;0,MAX(C$2:C72)+1,"")</f>
        <v/>
      </c>
      <c r="D73" s="103" t="str">
        <f t="shared" ref="D73:D74" si="7">IF(LEN(B73)&gt;0,CONCATENATE("0x",DEC2HEX(C73,8)),"")</f>
        <v/>
      </c>
      <c r="E73" s="103" t="s">
        <v>287</v>
      </c>
      <c r="F73" s="103" t="s">
        <v>288</v>
      </c>
      <c r="G73" s="103" t="s">
        <v>289</v>
      </c>
      <c r="H73" s="103" t="b">
        <v>1</v>
      </c>
    </row>
    <row r="74" spans="1:8" x14ac:dyDescent="0.25">
      <c r="A74" s="102" t="s">
        <v>274</v>
      </c>
      <c r="B74" s="103" t="str">
        <f t="shared" si="6"/>
        <v/>
      </c>
      <c r="C74" s="103" t="str">
        <f>IF(LEN(B74)&gt;0,MAX(C$2:C73)+1,"")</f>
        <v/>
      </c>
      <c r="D74" s="103" t="str">
        <f t="shared" si="7"/>
        <v/>
      </c>
      <c r="E74" s="103"/>
      <c r="F74" s="103"/>
      <c r="G74" s="103" t="str">
        <f t="shared" si="4"/>
        <v/>
      </c>
      <c r="H74" s="103" t="str">
        <f t="shared" si="5"/>
        <v/>
      </c>
    </row>
  </sheetData>
  <mergeCells count="6">
    <mergeCell ref="B3:D3"/>
    <mergeCell ref="A1:A2"/>
    <mergeCell ref="B1:B2"/>
    <mergeCell ref="C1:D1"/>
    <mergeCell ref="E1:H1"/>
    <mergeCell ref="E3:H3"/>
  </mergeCells>
  <conditionalFormatting sqref="A4:H4 A34:F72 G34:H74">
    <cfRule type="expression" dxfId="38" priority="25">
      <formula>AND(LEN($B4)&gt;0,$H4&lt;&gt;TRUE)</formula>
    </cfRule>
    <cfRule type="expression" dxfId="37" priority="26">
      <formula>$H4=TRUE</formula>
    </cfRule>
    <cfRule type="expression" dxfId="36" priority="27">
      <formula>LEN($B4)=0</formula>
    </cfRule>
  </conditionalFormatting>
  <conditionalFormatting sqref="A33:H33 A5:F20 A74:F74 A73:E73 A22:F26 A21:D21 A28:F32 A27:D27">
    <cfRule type="expression" dxfId="35" priority="22">
      <formula>AND(LEN($B5)&gt;0,$H5&lt;&gt;TRUE)</formula>
    </cfRule>
    <cfRule type="expression" dxfId="34" priority="23">
      <formula>$H5=TRUE</formula>
    </cfRule>
    <cfRule type="expression" dxfId="33" priority="24">
      <formula>LEN($B5)=0</formula>
    </cfRule>
  </conditionalFormatting>
  <conditionalFormatting sqref="G5:G20 G22:G26 G28:G32">
    <cfRule type="expression" dxfId="32" priority="19">
      <formula>AND(LEN($B5)&gt;0,$H5&lt;&gt;TRUE)</formula>
    </cfRule>
    <cfRule type="expression" dxfId="31" priority="20">
      <formula>$H5=TRUE</formula>
    </cfRule>
    <cfRule type="expression" dxfId="30" priority="21">
      <formula>LEN($B5)=0</formula>
    </cfRule>
  </conditionalFormatting>
  <conditionalFormatting sqref="F73">
    <cfRule type="expression" dxfId="29" priority="7">
      <formula>AND(LEN($B73)&gt;0,$H73&lt;&gt;TRUE)</formula>
    </cfRule>
    <cfRule type="expression" dxfId="28" priority="8">
      <formula>$H73=TRUE</formula>
    </cfRule>
    <cfRule type="expression" dxfId="27" priority="9">
      <formula>LEN($B73)=0</formula>
    </cfRule>
  </conditionalFormatting>
  <conditionalFormatting sqref="H5:H20 H22:H26 H28:H32">
    <cfRule type="expression" dxfId="26" priority="13">
      <formula>AND(LEN($B5)&gt;0,$H5&lt;&gt;TRUE)</formula>
    </cfRule>
    <cfRule type="expression" dxfId="25" priority="14">
      <formula>$H5=TRUE</formula>
    </cfRule>
    <cfRule type="expression" dxfId="24" priority="15">
      <formula>LEN($B5)=0</formula>
    </cfRule>
  </conditionalFormatting>
  <conditionalFormatting sqref="E21:H21">
    <cfRule type="expression" dxfId="23" priority="4">
      <formula>AND(LEN($B21)&gt;0,$H21&lt;&gt;TRUE)</formula>
    </cfRule>
    <cfRule type="expression" dxfId="22" priority="5">
      <formula>$H21=TRUE</formula>
    </cfRule>
    <cfRule type="expression" dxfId="21" priority="6">
      <formula>LEN($B21)=0</formula>
    </cfRule>
  </conditionalFormatting>
  <conditionalFormatting sqref="E27:H27">
    <cfRule type="expression" dxfId="20" priority="1">
      <formula>AND(LEN($B27)&gt;0,$H27&lt;&gt;TRUE)</formula>
    </cfRule>
    <cfRule type="expression" dxfId="19" priority="2">
      <formula>$H27=TRUE</formula>
    </cfRule>
    <cfRule type="expression" dxfId="18" priority="3">
      <formula>LEN($B27)=0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3"/>
  <sheetViews>
    <sheetView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G8" sqref="G8"/>
    </sheetView>
  </sheetViews>
  <sheetFormatPr defaultRowHeight="15" x14ac:dyDescent="0.25"/>
  <cols>
    <col min="1" max="1" width="5.5" bestFit="1" customWidth="1"/>
    <col min="2" max="2" width="21.25" bestFit="1" customWidth="1"/>
    <col min="3" max="3" width="27.375" style="106" bestFit="1" customWidth="1"/>
    <col min="4" max="4" width="9.625" style="106" bestFit="1" customWidth="1"/>
    <col min="5" max="5" width="23.25" bestFit="1" customWidth="1"/>
    <col min="6" max="6" width="60.625" customWidth="1"/>
    <col min="7" max="7" width="82" bestFit="1" customWidth="1"/>
  </cols>
  <sheetData>
    <row r="1" spans="1:7" ht="18" x14ac:dyDescent="0.25">
      <c r="A1" s="108" t="s">
        <v>374</v>
      </c>
      <c r="B1" s="109" t="s">
        <v>375</v>
      </c>
      <c r="C1" s="109" t="s">
        <v>377</v>
      </c>
      <c r="D1" s="109" t="s">
        <v>376</v>
      </c>
      <c r="E1" s="109" t="s">
        <v>378</v>
      </c>
      <c r="F1" s="110" t="s">
        <v>43</v>
      </c>
      <c r="G1" s="110" t="s">
        <v>196</v>
      </c>
    </row>
    <row r="2" spans="1:7" x14ac:dyDescent="0.25">
      <c r="A2" s="111"/>
      <c r="B2" s="112" t="s">
        <v>302</v>
      </c>
      <c r="C2" s="112"/>
      <c r="D2" s="112"/>
      <c r="E2" s="112"/>
      <c r="F2" s="120">
        <v>8</v>
      </c>
      <c r="G2" s="113" t="s">
        <v>303</v>
      </c>
    </row>
    <row r="3" spans="1:7" x14ac:dyDescent="0.25">
      <c r="A3" s="114" t="s">
        <v>304</v>
      </c>
      <c r="B3" s="115" t="s">
        <v>305</v>
      </c>
      <c r="C3" s="115"/>
      <c r="D3" s="115"/>
      <c r="E3" s="115"/>
      <c r="F3" s="121" t="s">
        <v>306</v>
      </c>
      <c r="G3" s="116" t="s">
        <v>307</v>
      </c>
    </row>
    <row r="4" spans="1:7" x14ac:dyDescent="0.25">
      <c r="A4" s="111" t="s">
        <v>304</v>
      </c>
      <c r="B4" s="112"/>
      <c r="C4" s="112" t="s">
        <v>308</v>
      </c>
      <c r="D4" s="112"/>
      <c r="E4" s="112"/>
      <c r="F4" s="120" t="s">
        <v>309</v>
      </c>
      <c r="G4" s="113" t="s">
        <v>310</v>
      </c>
    </row>
    <row r="5" spans="1:7" x14ac:dyDescent="0.25">
      <c r="A5" s="114" t="s">
        <v>304</v>
      </c>
      <c r="B5" s="115"/>
      <c r="C5" s="115"/>
      <c r="D5" s="115" t="s">
        <v>311</v>
      </c>
      <c r="E5" s="115"/>
      <c r="F5" s="121" t="s">
        <v>312</v>
      </c>
      <c r="G5" s="116" t="s">
        <v>313</v>
      </c>
    </row>
    <row r="6" spans="1:7" x14ac:dyDescent="0.25">
      <c r="A6" s="111"/>
      <c r="B6" s="112"/>
      <c r="C6" s="112"/>
      <c r="D6" s="112"/>
      <c r="E6" s="112" t="s">
        <v>314</v>
      </c>
      <c r="F6" s="120" t="s">
        <v>315</v>
      </c>
      <c r="G6" s="113" t="s">
        <v>316</v>
      </c>
    </row>
    <row r="7" spans="1:7" x14ac:dyDescent="0.25">
      <c r="A7" s="114"/>
      <c r="B7" s="115"/>
      <c r="C7" s="115"/>
      <c r="D7" s="115"/>
      <c r="E7" s="115" t="s">
        <v>317</v>
      </c>
      <c r="F7" s="121">
        <v>1</v>
      </c>
      <c r="G7" s="116" t="s">
        <v>303</v>
      </c>
    </row>
    <row r="8" spans="1:7" x14ac:dyDescent="0.25">
      <c r="A8" s="111"/>
      <c r="B8" s="112"/>
      <c r="C8" s="112"/>
      <c r="D8" s="112"/>
      <c r="E8" s="112" t="s">
        <v>318</v>
      </c>
      <c r="F8" s="120">
        <v>0</v>
      </c>
      <c r="G8" s="113" t="s">
        <v>303</v>
      </c>
    </row>
    <row r="9" spans="1:7" x14ac:dyDescent="0.25">
      <c r="A9" s="114"/>
      <c r="B9" s="115"/>
      <c r="C9" s="115"/>
      <c r="D9" s="115"/>
      <c r="E9" s="115" t="s">
        <v>319</v>
      </c>
      <c r="F9" s="121">
        <v>3</v>
      </c>
      <c r="G9" s="116" t="s">
        <v>303</v>
      </c>
    </row>
    <row r="10" spans="1:7" x14ac:dyDescent="0.25">
      <c r="A10" s="111"/>
      <c r="B10" s="112"/>
      <c r="C10" s="112"/>
      <c r="D10" s="112"/>
      <c r="E10" s="112" t="s">
        <v>320</v>
      </c>
      <c r="F10" s="120">
        <v>25</v>
      </c>
      <c r="G10" s="113" t="s">
        <v>303</v>
      </c>
    </row>
    <row r="11" spans="1:7" x14ac:dyDescent="0.25">
      <c r="A11" s="114"/>
      <c r="B11" s="115"/>
      <c r="C11" s="115"/>
      <c r="D11" s="115"/>
      <c r="E11" s="115" t="s">
        <v>321</v>
      </c>
      <c r="F11" s="121" t="s">
        <v>322</v>
      </c>
      <c r="G11" s="116" t="s">
        <v>194</v>
      </c>
    </row>
    <row r="12" spans="1:7" x14ac:dyDescent="0.25">
      <c r="A12" s="111"/>
      <c r="B12" s="112"/>
      <c r="C12" s="112"/>
      <c r="D12" s="112"/>
      <c r="E12" s="112" t="s">
        <v>323</v>
      </c>
      <c r="F12" s="120">
        <v>1</v>
      </c>
      <c r="G12" s="113" t="s">
        <v>189</v>
      </c>
    </row>
    <row r="13" spans="1:7" x14ac:dyDescent="0.25">
      <c r="A13" s="114"/>
      <c r="B13" s="115"/>
      <c r="C13" s="115"/>
      <c r="D13" s="115"/>
      <c r="E13" s="115" t="s">
        <v>324</v>
      </c>
      <c r="F13" s="121">
        <v>1</v>
      </c>
      <c r="G13" s="116" t="s">
        <v>189</v>
      </c>
    </row>
    <row r="14" spans="1:7" x14ac:dyDescent="0.25">
      <c r="A14" s="111"/>
      <c r="B14" s="112"/>
      <c r="C14" s="112"/>
      <c r="D14" s="112"/>
      <c r="E14" s="112" t="s">
        <v>325</v>
      </c>
      <c r="F14" s="120">
        <v>1</v>
      </c>
      <c r="G14" s="113" t="s">
        <v>303</v>
      </c>
    </row>
    <row r="15" spans="1:7" x14ac:dyDescent="0.25">
      <c r="A15" s="114"/>
      <c r="B15" s="115"/>
      <c r="C15" s="115"/>
      <c r="D15" s="115"/>
      <c r="E15" s="115" t="s">
        <v>326</v>
      </c>
      <c r="F15" s="121" t="s">
        <v>322</v>
      </c>
      <c r="G15" s="116" t="s">
        <v>194</v>
      </c>
    </row>
    <row r="16" spans="1:7" x14ac:dyDescent="0.25">
      <c r="A16" s="111"/>
      <c r="B16" s="112"/>
      <c r="C16" s="112"/>
      <c r="D16" s="112"/>
      <c r="E16" s="112" t="s">
        <v>327</v>
      </c>
      <c r="F16" s="120">
        <v>0</v>
      </c>
      <c r="G16" s="113" t="s">
        <v>303</v>
      </c>
    </row>
    <row r="17" spans="1:7" x14ac:dyDescent="0.25">
      <c r="A17" s="114"/>
      <c r="B17" s="115"/>
      <c r="C17" s="115"/>
      <c r="D17" s="115"/>
      <c r="E17" s="115" t="s">
        <v>328</v>
      </c>
      <c r="F17" s="121">
        <v>3</v>
      </c>
      <c r="G17" s="116" t="s">
        <v>303</v>
      </c>
    </row>
    <row r="18" spans="1:7" x14ac:dyDescent="0.25">
      <c r="A18" s="111"/>
      <c r="B18" s="112"/>
      <c r="C18" s="112"/>
      <c r="D18" s="112"/>
      <c r="E18" s="112" t="s">
        <v>329</v>
      </c>
      <c r="F18" s="120">
        <v>25</v>
      </c>
      <c r="G18" s="113" t="s">
        <v>303</v>
      </c>
    </row>
    <row r="19" spans="1:7" x14ac:dyDescent="0.25">
      <c r="A19" s="114"/>
      <c r="B19" s="115"/>
      <c r="C19" s="115"/>
      <c r="D19" s="115"/>
      <c r="E19" s="115" t="s">
        <v>330</v>
      </c>
      <c r="F19" s="121" t="s">
        <v>315</v>
      </c>
      <c r="G19" s="116" t="s">
        <v>316</v>
      </c>
    </row>
    <row r="20" spans="1:7" x14ac:dyDescent="0.25">
      <c r="A20" s="111" t="s">
        <v>331</v>
      </c>
      <c r="B20" s="112"/>
      <c r="C20" s="112"/>
      <c r="D20" s="112"/>
      <c r="E20" s="112" t="s">
        <v>332</v>
      </c>
      <c r="F20" s="120"/>
      <c r="G20" s="113"/>
    </row>
    <row r="21" spans="1:7" x14ac:dyDescent="0.25">
      <c r="A21" s="114" t="s">
        <v>304</v>
      </c>
      <c r="B21" s="115"/>
      <c r="C21" s="115"/>
      <c r="D21" s="115" t="s">
        <v>333</v>
      </c>
      <c r="E21" s="115"/>
      <c r="F21" s="121" t="s">
        <v>312</v>
      </c>
      <c r="G21" s="116" t="s">
        <v>313</v>
      </c>
    </row>
    <row r="22" spans="1:7" x14ac:dyDescent="0.25">
      <c r="A22" s="111"/>
      <c r="B22" s="112"/>
      <c r="C22" s="112"/>
      <c r="D22" s="112"/>
      <c r="E22" s="112" t="s">
        <v>314</v>
      </c>
      <c r="F22" s="120" t="s">
        <v>315</v>
      </c>
      <c r="G22" s="113" t="s">
        <v>316</v>
      </c>
    </row>
    <row r="23" spans="1:7" x14ac:dyDescent="0.25">
      <c r="A23" s="114"/>
      <c r="B23" s="115"/>
      <c r="C23" s="115"/>
      <c r="D23" s="115"/>
      <c r="E23" s="115" t="s">
        <v>317</v>
      </c>
      <c r="F23" s="121">
        <v>4</v>
      </c>
      <c r="G23" s="116" t="s">
        <v>303</v>
      </c>
    </row>
    <row r="24" spans="1:7" x14ac:dyDescent="0.25">
      <c r="A24" s="111"/>
      <c r="B24" s="112"/>
      <c r="C24" s="112"/>
      <c r="D24" s="112"/>
      <c r="E24" s="112" t="s">
        <v>318</v>
      </c>
      <c r="F24" s="120">
        <v>0</v>
      </c>
      <c r="G24" s="113" t="s">
        <v>303</v>
      </c>
    </row>
    <row r="25" spans="1:7" x14ac:dyDescent="0.25">
      <c r="A25" s="114"/>
      <c r="B25" s="115"/>
      <c r="C25" s="115"/>
      <c r="D25" s="115"/>
      <c r="E25" s="115" t="s">
        <v>319</v>
      </c>
      <c r="F25" s="121">
        <v>3</v>
      </c>
      <c r="G25" s="116" t="s">
        <v>303</v>
      </c>
    </row>
    <row r="26" spans="1:7" x14ac:dyDescent="0.25">
      <c r="A26" s="111"/>
      <c r="B26" s="112"/>
      <c r="C26" s="112"/>
      <c r="D26" s="112"/>
      <c r="E26" s="112" t="s">
        <v>320</v>
      </c>
      <c r="F26" s="120">
        <v>28</v>
      </c>
      <c r="G26" s="113" t="s">
        <v>303</v>
      </c>
    </row>
    <row r="27" spans="1:7" x14ac:dyDescent="0.25">
      <c r="A27" s="114"/>
      <c r="B27" s="115"/>
      <c r="C27" s="115"/>
      <c r="D27" s="115"/>
      <c r="E27" s="115" t="s">
        <v>321</v>
      </c>
      <c r="F27" s="121" t="s">
        <v>322</v>
      </c>
      <c r="G27" s="116" t="s">
        <v>194</v>
      </c>
    </row>
    <row r="28" spans="1:7" x14ac:dyDescent="0.25">
      <c r="A28" s="111"/>
      <c r="B28" s="112"/>
      <c r="C28" s="112"/>
      <c r="D28" s="112"/>
      <c r="E28" s="112" t="s">
        <v>323</v>
      </c>
      <c r="F28" s="120">
        <v>2</v>
      </c>
      <c r="G28" s="113" t="s">
        <v>189</v>
      </c>
    </row>
    <row r="29" spans="1:7" x14ac:dyDescent="0.25">
      <c r="A29" s="114"/>
      <c r="B29" s="115"/>
      <c r="C29" s="115"/>
      <c r="D29" s="115"/>
      <c r="E29" s="115" t="s">
        <v>324</v>
      </c>
      <c r="F29" s="121">
        <v>2</v>
      </c>
      <c r="G29" s="116" t="s">
        <v>189</v>
      </c>
    </row>
    <row r="30" spans="1:7" x14ac:dyDescent="0.25">
      <c r="A30" s="111"/>
      <c r="B30" s="112"/>
      <c r="C30" s="112"/>
      <c r="D30" s="112"/>
      <c r="E30" s="112" t="s">
        <v>325</v>
      </c>
      <c r="F30" s="120">
        <v>4</v>
      </c>
      <c r="G30" s="113" t="s">
        <v>303</v>
      </c>
    </row>
    <row r="31" spans="1:7" x14ac:dyDescent="0.25">
      <c r="A31" s="114"/>
      <c r="B31" s="115"/>
      <c r="C31" s="115"/>
      <c r="D31" s="115"/>
      <c r="E31" s="115" t="s">
        <v>326</v>
      </c>
      <c r="F31" s="121" t="s">
        <v>322</v>
      </c>
      <c r="G31" s="116" t="s">
        <v>194</v>
      </c>
    </row>
    <row r="32" spans="1:7" x14ac:dyDescent="0.25">
      <c r="A32" s="111"/>
      <c r="B32" s="112"/>
      <c r="C32" s="112"/>
      <c r="D32" s="112"/>
      <c r="E32" s="112" t="s">
        <v>327</v>
      </c>
      <c r="F32" s="120">
        <v>0</v>
      </c>
      <c r="G32" s="113" t="s">
        <v>303</v>
      </c>
    </row>
    <row r="33" spans="1:7" x14ac:dyDescent="0.25">
      <c r="A33" s="114"/>
      <c r="B33" s="115"/>
      <c r="C33" s="115"/>
      <c r="D33" s="115"/>
      <c r="E33" s="115" t="s">
        <v>328</v>
      </c>
      <c r="F33" s="121">
        <v>3</v>
      </c>
      <c r="G33" s="116" t="s">
        <v>303</v>
      </c>
    </row>
    <row r="34" spans="1:7" x14ac:dyDescent="0.25">
      <c r="A34" s="111"/>
      <c r="B34" s="112"/>
      <c r="C34" s="112"/>
      <c r="D34" s="112"/>
      <c r="E34" s="112" t="s">
        <v>329</v>
      </c>
      <c r="F34" s="120">
        <v>28</v>
      </c>
      <c r="G34" s="113" t="s">
        <v>303</v>
      </c>
    </row>
    <row r="35" spans="1:7" x14ac:dyDescent="0.25">
      <c r="A35" s="114"/>
      <c r="B35" s="115"/>
      <c r="C35" s="115"/>
      <c r="D35" s="115"/>
      <c r="E35" s="115" t="s">
        <v>330</v>
      </c>
      <c r="F35" s="121" t="s">
        <v>315</v>
      </c>
      <c r="G35" s="116" t="s">
        <v>316</v>
      </c>
    </row>
    <row r="36" spans="1:7" x14ac:dyDescent="0.25">
      <c r="A36" s="111" t="s">
        <v>331</v>
      </c>
      <c r="B36" s="112"/>
      <c r="C36" s="112"/>
      <c r="D36" s="112"/>
      <c r="E36" s="112" t="s">
        <v>332</v>
      </c>
      <c r="F36" s="120"/>
      <c r="G36" s="113"/>
    </row>
    <row r="37" spans="1:7" x14ac:dyDescent="0.25">
      <c r="A37" s="114" t="s">
        <v>304</v>
      </c>
      <c r="B37" s="115"/>
      <c r="C37" s="115"/>
      <c r="D37" s="115" t="s">
        <v>334</v>
      </c>
      <c r="E37" s="115"/>
      <c r="F37" s="121" t="s">
        <v>312</v>
      </c>
      <c r="G37" s="116" t="s">
        <v>313</v>
      </c>
    </row>
    <row r="38" spans="1:7" x14ac:dyDescent="0.25">
      <c r="A38" s="111"/>
      <c r="B38" s="112"/>
      <c r="C38" s="112"/>
      <c r="D38" s="112"/>
      <c r="E38" s="112" t="s">
        <v>314</v>
      </c>
      <c r="F38" s="120" t="s">
        <v>315</v>
      </c>
      <c r="G38" s="113" t="s">
        <v>316</v>
      </c>
    </row>
    <row r="39" spans="1:7" x14ac:dyDescent="0.25">
      <c r="A39" s="114"/>
      <c r="B39" s="115"/>
      <c r="C39" s="115"/>
      <c r="D39" s="115"/>
      <c r="E39" s="115" t="s">
        <v>317</v>
      </c>
      <c r="F39" s="121">
        <v>2</v>
      </c>
      <c r="G39" s="116" t="s">
        <v>303</v>
      </c>
    </row>
    <row r="40" spans="1:7" x14ac:dyDescent="0.25">
      <c r="A40" s="111"/>
      <c r="B40" s="112"/>
      <c r="C40" s="112"/>
      <c r="D40" s="112"/>
      <c r="E40" s="112" t="s">
        <v>318</v>
      </c>
      <c r="F40" s="120">
        <v>0</v>
      </c>
      <c r="G40" s="113" t="s">
        <v>303</v>
      </c>
    </row>
    <row r="41" spans="1:7" x14ac:dyDescent="0.25">
      <c r="A41" s="114"/>
      <c r="B41" s="115"/>
      <c r="C41" s="115"/>
      <c r="D41" s="115"/>
      <c r="E41" s="115" t="s">
        <v>319</v>
      </c>
      <c r="F41" s="121">
        <v>3</v>
      </c>
      <c r="G41" s="116" t="s">
        <v>303</v>
      </c>
    </row>
    <row r="42" spans="1:7" x14ac:dyDescent="0.25">
      <c r="A42" s="111"/>
      <c r="B42" s="112"/>
      <c r="C42" s="112"/>
      <c r="D42" s="112"/>
      <c r="E42" s="112" t="s">
        <v>320</v>
      </c>
      <c r="F42" s="120">
        <v>65</v>
      </c>
      <c r="G42" s="113" t="s">
        <v>303</v>
      </c>
    </row>
    <row r="43" spans="1:7" x14ac:dyDescent="0.25">
      <c r="A43" s="114"/>
      <c r="B43" s="115"/>
      <c r="C43" s="115"/>
      <c r="D43" s="115"/>
      <c r="E43" s="115" t="s">
        <v>321</v>
      </c>
      <c r="F43" s="121" t="s">
        <v>322</v>
      </c>
      <c r="G43" s="116" t="s">
        <v>194</v>
      </c>
    </row>
    <row r="44" spans="1:7" x14ac:dyDescent="0.25">
      <c r="A44" s="111"/>
      <c r="B44" s="112"/>
      <c r="C44" s="112"/>
      <c r="D44" s="112"/>
      <c r="E44" s="112" t="s">
        <v>323</v>
      </c>
      <c r="F44" s="120">
        <v>3</v>
      </c>
      <c r="G44" s="113" t="s">
        <v>189</v>
      </c>
    </row>
    <row r="45" spans="1:7" x14ac:dyDescent="0.25">
      <c r="A45" s="114"/>
      <c r="B45" s="115"/>
      <c r="C45" s="115"/>
      <c r="D45" s="115"/>
      <c r="E45" s="115" t="s">
        <v>324</v>
      </c>
      <c r="F45" s="121">
        <v>3</v>
      </c>
      <c r="G45" s="116" t="s">
        <v>189</v>
      </c>
    </row>
    <row r="46" spans="1:7" x14ac:dyDescent="0.25">
      <c r="A46" s="111"/>
      <c r="B46" s="112"/>
      <c r="C46" s="112"/>
      <c r="D46" s="112"/>
      <c r="E46" s="112" t="s">
        <v>325</v>
      </c>
      <c r="F46" s="120">
        <v>2</v>
      </c>
      <c r="G46" s="113" t="s">
        <v>303</v>
      </c>
    </row>
    <row r="47" spans="1:7" x14ac:dyDescent="0.25">
      <c r="A47" s="114"/>
      <c r="B47" s="115"/>
      <c r="C47" s="115"/>
      <c r="D47" s="115"/>
      <c r="E47" s="115" t="s">
        <v>326</v>
      </c>
      <c r="F47" s="121" t="s">
        <v>322</v>
      </c>
      <c r="G47" s="116" t="s">
        <v>194</v>
      </c>
    </row>
    <row r="48" spans="1:7" x14ac:dyDescent="0.25">
      <c r="A48" s="111"/>
      <c r="B48" s="112"/>
      <c r="C48" s="112"/>
      <c r="D48" s="112"/>
      <c r="E48" s="112" t="s">
        <v>327</v>
      </c>
      <c r="F48" s="120">
        <v>0</v>
      </c>
      <c r="G48" s="113" t="s">
        <v>303</v>
      </c>
    </row>
    <row r="49" spans="1:7" x14ac:dyDescent="0.25">
      <c r="A49" s="114"/>
      <c r="B49" s="115"/>
      <c r="C49" s="115"/>
      <c r="D49" s="115"/>
      <c r="E49" s="115" t="s">
        <v>328</v>
      </c>
      <c r="F49" s="121">
        <v>3</v>
      </c>
      <c r="G49" s="116" t="s">
        <v>303</v>
      </c>
    </row>
    <row r="50" spans="1:7" x14ac:dyDescent="0.25">
      <c r="A50" s="111"/>
      <c r="B50" s="112"/>
      <c r="C50" s="112"/>
      <c r="D50" s="112"/>
      <c r="E50" s="112" t="s">
        <v>329</v>
      </c>
      <c r="F50" s="120">
        <v>65</v>
      </c>
      <c r="G50" s="113" t="s">
        <v>303</v>
      </c>
    </row>
    <row r="51" spans="1:7" x14ac:dyDescent="0.25">
      <c r="A51" s="114"/>
      <c r="B51" s="115"/>
      <c r="C51" s="115"/>
      <c r="D51" s="115"/>
      <c r="E51" s="115" t="s">
        <v>330</v>
      </c>
      <c r="F51" s="121" t="s">
        <v>315</v>
      </c>
      <c r="G51" s="116" t="s">
        <v>316</v>
      </c>
    </row>
    <row r="52" spans="1:7" x14ac:dyDescent="0.25">
      <c r="A52" s="111" t="s">
        <v>331</v>
      </c>
      <c r="B52" s="112"/>
      <c r="C52" s="112"/>
      <c r="D52" s="112"/>
      <c r="E52" s="112" t="s">
        <v>332</v>
      </c>
      <c r="F52" s="120"/>
      <c r="G52" s="113"/>
    </row>
    <row r="53" spans="1:7" x14ac:dyDescent="0.25">
      <c r="A53" s="114" t="s">
        <v>304</v>
      </c>
      <c r="B53" s="115"/>
      <c r="C53" s="115"/>
      <c r="D53" s="115" t="s">
        <v>335</v>
      </c>
      <c r="E53" s="115"/>
      <c r="F53" s="121" t="s">
        <v>312</v>
      </c>
      <c r="G53" s="116" t="s">
        <v>313</v>
      </c>
    </row>
    <row r="54" spans="1:7" x14ac:dyDescent="0.25">
      <c r="A54" s="111"/>
      <c r="B54" s="112"/>
      <c r="C54" s="112"/>
      <c r="D54" s="112"/>
      <c r="E54" s="112" t="s">
        <v>314</v>
      </c>
      <c r="F54" s="120" t="s">
        <v>315</v>
      </c>
      <c r="G54" s="113" t="s">
        <v>316</v>
      </c>
    </row>
    <row r="55" spans="1:7" x14ac:dyDescent="0.25">
      <c r="A55" s="114"/>
      <c r="B55" s="115"/>
      <c r="C55" s="115"/>
      <c r="D55" s="115"/>
      <c r="E55" s="115" t="s">
        <v>317</v>
      </c>
      <c r="F55" s="121">
        <v>6</v>
      </c>
      <c r="G55" s="116" t="s">
        <v>303</v>
      </c>
    </row>
    <row r="56" spans="1:7" x14ac:dyDescent="0.25">
      <c r="A56" s="111"/>
      <c r="B56" s="112"/>
      <c r="C56" s="112"/>
      <c r="D56" s="112"/>
      <c r="E56" s="112" t="s">
        <v>318</v>
      </c>
      <c r="F56" s="120">
        <v>0</v>
      </c>
      <c r="G56" s="113" t="s">
        <v>303</v>
      </c>
    </row>
    <row r="57" spans="1:7" x14ac:dyDescent="0.25">
      <c r="A57" s="114"/>
      <c r="B57" s="115"/>
      <c r="C57" s="115"/>
      <c r="D57" s="115"/>
      <c r="E57" s="115" t="s">
        <v>319</v>
      </c>
      <c r="F57" s="121">
        <v>3</v>
      </c>
      <c r="G57" s="116" t="s">
        <v>303</v>
      </c>
    </row>
    <row r="58" spans="1:7" x14ac:dyDescent="0.25">
      <c r="A58" s="111"/>
      <c r="B58" s="112"/>
      <c r="C58" s="112"/>
      <c r="D58" s="112"/>
      <c r="E58" s="112" t="s">
        <v>320</v>
      </c>
      <c r="F58" s="120">
        <v>68</v>
      </c>
      <c r="G58" s="113" t="s">
        <v>303</v>
      </c>
    </row>
    <row r="59" spans="1:7" x14ac:dyDescent="0.25">
      <c r="A59" s="114"/>
      <c r="B59" s="115"/>
      <c r="C59" s="115"/>
      <c r="D59" s="115"/>
      <c r="E59" s="115" t="s">
        <v>321</v>
      </c>
      <c r="F59" s="121" t="s">
        <v>322</v>
      </c>
      <c r="G59" s="116" t="s">
        <v>194</v>
      </c>
    </row>
    <row r="60" spans="1:7" x14ac:dyDescent="0.25">
      <c r="A60" s="111"/>
      <c r="B60" s="112"/>
      <c r="C60" s="112"/>
      <c r="D60" s="112"/>
      <c r="E60" s="112" t="s">
        <v>323</v>
      </c>
      <c r="F60" s="120">
        <v>4</v>
      </c>
      <c r="G60" s="113" t="s">
        <v>189</v>
      </c>
    </row>
    <row r="61" spans="1:7" x14ac:dyDescent="0.25">
      <c r="A61" s="114"/>
      <c r="B61" s="115"/>
      <c r="C61" s="115"/>
      <c r="D61" s="115"/>
      <c r="E61" s="115" t="s">
        <v>324</v>
      </c>
      <c r="F61" s="121">
        <v>4</v>
      </c>
      <c r="G61" s="116" t="s">
        <v>189</v>
      </c>
    </row>
    <row r="62" spans="1:7" x14ac:dyDescent="0.25">
      <c r="A62" s="111"/>
      <c r="B62" s="112"/>
      <c r="C62" s="112"/>
      <c r="D62" s="112"/>
      <c r="E62" s="112" t="s">
        <v>325</v>
      </c>
      <c r="F62" s="120">
        <v>6</v>
      </c>
      <c r="G62" s="113" t="s">
        <v>303</v>
      </c>
    </row>
    <row r="63" spans="1:7" x14ac:dyDescent="0.25">
      <c r="A63" s="114"/>
      <c r="B63" s="115"/>
      <c r="C63" s="115"/>
      <c r="D63" s="115"/>
      <c r="E63" s="115" t="s">
        <v>326</v>
      </c>
      <c r="F63" s="121" t="s">
        <v>322</v>
      </c>
      <c r="G63" s="116" t="s">
        <v>194</v>
      </c>
    </row>
    <row r="64" spans="1:7" x14ac:dyDescent="0.25">
      <c r="A64" s="111"/>
      <c r="B64" s="112"/>
      <c r="C64" s="112"/>
      <c r="D64" s="112"/>
      <c r="E64" s="112" t="s">
        <v>327</v>
      </c>
      <c r="F64" s="120">
        <v>0</v>
      </c>
      <c r="G64" s="113" t="s">
        <v>303</v>
      </c>
    </row>
    <row r="65" spans="1:7" x14ac:dyDescent="0.25">
      <c r="A65" s="114"/>
      <c r="B65" s="115"/>
      <c r="C65" s="115"/>
      <c r="D65" s="115"/>
      <c r="E65" s="115" t="s">
        <v>328</v>
      </c>
      <c r="F65" s="121">
        <v>3</v>
      </c>
      <c r="G65" s="116" t="s">
        <v>303</v>
      </c>
    </row>
    <row r="66" spans="1:7" x14ac:dyDescent="0.25">
      <c r="A66" s="111"/>
      <c r="B66" s="112"/>
      <c r="C66" s="112"/>
      <c r="D66" s="112"/>
      <c r="E66" s="112" t="s">
        <v>329</v>
      </c>
      <c r="F66" s="120">
        <v>68</v>
      </c>
      <c r="G66" s="113" t="s">
        <v>303</v>
      </c>
    </row>
    <row r="67" spans="1:7" x14ac:dyDescent="0.25">
      <c r="A67" s="114"/>
      <c r="B67" s="115"/>
      <c r="C67" s="115"/>
      <c r="D67" s="115"/>
      <c r="E67" s="115" t="s">
        <v>330</v>
      </c>
      <c r="F67" s="121" t="s">
        <v>315</v>
      </c>
      <c r="G67" s="116" t="s">
        <v>316</v>
      </c>
    </row>
    <row r="68" spans="1:7" x14ac:dyDescent="0.25">
      <c r="A68" s="111" t="s">
        <v>331</v>
      </c>
      <c r="B68" s="112"/>
      <c r="C68" s="112"/>
      <c r="D68" s="112"/>
      <c r="E68" s="112" t="s">
        <v>332</v>
      </c>
      <c r="F68" s="120"/>
      <c r="G68" s="113"/>
    </row>
    <row r="69" spans="1:7" x14ac:dyDescent="0.25">
      <c r="A69" s="114" t="s">
        <v>304</v>
      </c>
      <c r="B69" s="115"/>
      <c r="C69" s="115"/>
      <c r="D69" s="115" t="s">
        <v>336</v>
      </c>
      <c r="E69" s="115"/>
      <c r="F69" s="121" t="s">
        <v>312</v>
      </c>
      <c r="G69" s="116" t="s">
        <v>313</v>
      </c>
    </row>
    <row r="70" spans="1:7" x14ac:dyDescent="0.25">
      <c r="A70" s="111"/>
      <c r="B70" s="112"/>
      <c r="C70" s="112"/>
      <c r="D70" s="112"/>
      <c r="E70" s="112" t="s">
        <v>314</v>
      </c>
      <c r="F70" s="120" t="s">
        <v>315</v>
      </c>
      <c r="G70" s="113" t="s">
        <v>316</v>
      </c>
    </row>
    <row r="71" spans="1:7" x14ac:dyDescent="0.25">
      <c r="A71" s="114"/>
      <c r="B71" s="115"/>
      <c r="C71" s="115"/>
      <c r="D71" s="115"/>
      <c r="E71" s="115" t="s">
        <v>317</v>
      </c>
      <c r="F71" s="121">
        <v>3</v>
      </c>
      <c r="G71" s="116" t="s">
        <v>303</v>
      </c>
    </row>
    <row r="72" spans="1:7" x14ac:dyDescent="0.25">
      <c r="A72" s="111"/>
      <c r="B72" s="112"/>
      <c r="C72" s="112"/>
      <c r="D72" s="112"/>
      <c r="E72" s="112" t="s">
        <v>318</v>
      </c>
      <c r="F72" s="120">
        <v>0</v>
      </c>
      <c r="G72" s="113" t="s">
        <v>303</v>
      </c>
    </row>
    <row r="73" spans="1:7" x14ac:dyDescent="0.25">
      <c r="A73" s="114"/>
      <c r="B73" s="115"/>
      <c r="C73" s="115"/>
      <c r="D73" s="115"/>
      <c r="E73" s="115" t="s">
        <v>319</v>
      </c>
      <c r="F73" s="121">
        <v>3</v>
      </c>
      <c r="G73" s="116" t="s">
        <v>303</v>
      </c>
    </row>
    <row r="74" spans="1:7" x14ac:dyDescent="0.25">
      <c r="A74" s="111"/>
      <c r="B74" s="112"/>
      <c r="C74" s="112"/>
      <c r="D74" s="112"/>
      <c r="E74" s="112" t="s">
        <v>320</v>
      </c>
      <c r="F74" s="120">
        <v>105</v>
      </c>
      <c r="G74" s="113" t="s">
        <v>303</v>
      </c>
    </row>
    <row r="75" spans="1:7" x14ac:dyDescent="0.25">
      <c r="A75" s="114"/>
      <c r="B75" s="115"/>
      <c r="C75" s="115"/>
      <c r="D75" s="115"/>
      <c r="E75" s="115" t="s">
        <v>321</v>
      </c>
      <c r="F75" s="121" t="s">
        <v>322</v>
      </c>
      <c r="G75" s="116" t="s">
        <v>194</v>
      </c>
    </row>
    <row r="76" spans="1:7" x14ac:dyDescent="0.25">
      <c r="A76" s="111"/>
      <c r="B76" s="112"/>
      <c r="C76" s="112"/>
      <c r="D76" s="112"/>
      <c r="E76" s="112" t="s">
        <v>323</v>
      </c>
      <c r="F76" s="120">
        <v>5</v>
      </c>
      <c r="G76" s="113" t="s">
        <v>189</v>
      </c>
    </row>
    <row r="77" spans="1:7" x14ac:dyDescent="0.25">
      <c r="A77" s="114"/>
      <c r="B77" s="115"/>
      <c r="C77" s="115"/>
      <c r="D77" s="115"/>
      <c r="E77" s="115" t="s">
        <v>324</v>
      </c>
      <c r="F77" s="121">
        <v>5</v>
      </c>
      <c r="G77" s="116" t="s">
        <v>189</v>
      </c>
    </row>
    <row r="78" spans="1:7" x14ac:dyDescent="0.25">
      <c r="A78" s="111"/>
      <c r="B78" s="112"/>
      <c r="C78" s="112"/>
      <c r="D78" s="112"/>
      <c r="E78" s="112" t="s">
        <v>325</v>
      </c>
      <c r="F78" s="120">
        <v>3</v>
      </c>
      <c r="G78" s="113" t="s">
        <v>303</v>
      </c>
    </row>
    <row r="79" spans="1:7" x14ac:dyDescent="0.25">
      <c r="A79" s="114"/>
      <c r="B79" s="115"/>
      <c r="C79" s="115"/>
      <c r="D79" s="115"/>
      <c r="E79" s="115" t="s">
        <v>326</v>
      </c>
      <c r="F79" s="121" t="s">
        <v>322</v>
      </c>
      <c r="G79" s="116" t="s">
        <v>194</v>
      </c>
    </row>
    <row r="80" spans="1:7" x14ac:dyDescent="0.25">
      <c r="A80" s="111"/>
      <c r="B80" s="112"/>
      <c r="C80" s="112"/>
      <c r="D80" s="112"/>
      <c r="E80" s="112" t="s">
        <v>327</v>
      </c>
      <c r="F80" s="120">
        <v>0</v>
      </c>
      <c r="G80" s="113" t="s">
        <v>303</v>
      </c>
    </row>
    <row r="81" spans="1:7" x14ac:dyDescent="0.25">
      <c r="A81" s="114"/>
      <c r="B81" s="115"/>
      <c r="C81" s="115"/>
      <c r="D81" s="115"/>
      <c r="E81" s="115" t="s">
        <v>328</v>
      </c>
      <c r="F81" s="121">
        <v>3</v>
      </c>
      <c r="G81" s="116" t="s">
        <v>303</v>
      </c>
    </row>
    <row r="82" spans="1:7" x14ac:dyDescent="0.25">
      <c r="A82" s="111"/>
      <c r="B82" s="112"/>
      <c r="C82" s="112"/>
      <c r="D82" s="112"/>
      <c r="E82" s="112" t="s">
        <v>329</v>
      </c>
      <c r="F82" s="120">
        <v>105</v>
      </c>
      <c r="G82" s="113" t="s">
        <v>303</v>
      </c>
    </row>
    <row r="83" spans="1:7" x14ac:dyDescent="0.25">
      <c r="A83" s="114"/>
      <c r="B83" s="115"/>
      <c r="C83" s="115"/>
      <c r="D83" s="115"/>
      <c r="E83" s="115" t="s">
        <v>330</v>
      </c>
      <c r="F83" s="121" t="s">
        <v>315</v>
      </c>
      <c r="G83" s="116" t="s">
        <v>316</v>
      </c>
    </row>
    <row r="84" spans="1:7" x14ac:dyDescent="0.25">
      <c r="A84" s="111" t="s">
        <v>331</v>
      </c>
      <c r="B84" s="112"/>
      <c r="C84" s="112"/>
      <c r="D84" s="112"/>
      <c r="E84" s="112" t="s">
        <v>332</v>
      </c>
      <c r="F84" s="120"/>
      <c r="G84" s="113"/>
    </row>
    <row r="85" spans="1:7" x14ac:dyDescent="0.25">
      <c r="A85" s="114" t="s">
        <v>304</v>
      </c>
      <c r="B85" s="115"/>
      <c r="C85" s="115"/>
      <c r="D85" s="115" t="s">
        <v>337</v>
      </c>
      <c r="E85" s="115"/>
      <c r="F85" s="121" t="s">
        <v>312</v>
      </c>
      <c r="G85" s="116" t="s">
        <v>313</v>
      </c>
    </row>
    <row r="86" spans="1:7" x14ac:dyDescent="0.25">
      <c r="A86" s="111"/>
      <c r="B86" s="112"/>
      <c r="C86" s="112"/>
      <c r="D86" s="112"/>
      <c r="E86" s="112" t="s">
        <v>314</v>
      </c>
      <c r="F86" s="120" t="s">
        <v>315</v>
      </c>
      <c r="G86" s="113" t="s">
        <v>316</v>
      </c>
    </row>
    <row r="87" spans="1:7" x14ac:dyDescent="0.25">
      <c r="A87" s="114"/>
      <c r="B87" s="115"/>
      <c r="C87" s="115"/>
      <c r="D87" s="115"/>
      <c r="E87" s="115" t="s">
        <v>317</v>
      </c>
      <c r="F87" s="121">
        <v>4</v>
      </c>
      <c r="G87" s="116" t="s">
        <v>303</v>
      </c>
    </row>
    <row r="88" spans="1:7" x14ac:dyDescent="0.25">
      <c r="A88" s="111"/>
      <c r="B88" s="112"/>
      <c r="C88" s="112"/>
      <c r="D88" s="112"/>
      <c r="E88" s="112" t="s">
        <v>318</v>
      </c>
      <c r="F88" s="120">
        <v>0</v>
      </c>
      <c r="G88" s="113" t="s">
        <v>303</v>
      </c>
    </row>
    <row r="89" spans="1:7" x14ac:dyDescent="0.25">
      <c r="A89" s="114"/>
      <c r="B89" s="115"/>
      <c r="C89" s="115"/>
      <c r="D89" s="115"/>
      <c r="E89" s="115" t="s">
        <v>319</v>
      </c>
      <c r="F89" s="121">
        <v>3</v>
      </c>
      <c r="G89" s="116" t="s">
        <v>303</v>
      </c>
    </row>
    <row r="90" spans="1:7" x14ac:dyDescent="0.25">
      <c r="A90" s="111"/>
      <c r="B90" s="112"/>
      <c r="C90" s="112"/>
      <c r="D90" s="112"/>
      <c r="E90" s="112" t="s">
        <v>320</v>
      </c>
      <c r="F90" s="120">
        <v>108</v>
      </c>
      <c r="G90" s="113" t="s">
        <v>303</v>
      </c>
    </row>
    <row r="91" spans="1:7" x14ac:dyDescent="0.25">
      <c r="A91" s="114"/>
      <c r="B91" s="115"/>
      <c r="C91" s="115"/>
      <c r="D91" s="115"/>
      <c r="E91" s="115" t="s">
        <v>321</v>
      </c>
      <c r="F91" s="121" t="s">
        <v>322</v>
      </c>
      <c r="G91" s="116" t="s">
        <v>194</v>
      </c>
    </row>
    <row r="92" spans="1:7" x14ac:dyDescent="0.25">
      <c r="A92" s="111"/>
      <c r="B92" s="112"/>
      <c r="C92" s="112"/>
      <c r="D92" s="112"/>
      <c r="E92" s="112" t="s">
        <v>323</v>
      </c>
      <c r="F92" s="120">
        <v>6</v>
      </c>
      <c r="G92" s="113" t="s">
        <v>189</v>
      </c>
    </row>
    <row r="93" spans="1:7" x14ac:dyDescent="0.25">
      <c r="A93" s="114"/>
      <c r="B93" s="115"/>
      <c r="C93" s="115"/>
      <c r="D93" s="115"/>
      <c r="E93" s="115" t="s">
        <v>324</v>
      </c>
      <c r="F93" s="121">
        <v>6</v>
      </c>
      <c r="G93" s="116" t="s">
        <v>189</v>
      </c>
    </row>
    <row r="94" spans="1:7" x14ac:dyDescent="0.25">
      <c r="A94" s="111"/>
      <c r="B94" s="112"/>
      <c r="C94" s="112"/>
      <c r="D94" s="112"/>
      <c r="E94" s="112" t="s">
        <v>325</v>
      </c>
      <c r="F94" s="120">
        <v>4</v>
      </c>
      <c r="G94" s="113" t="s">
        <v>303</v>
      </c>
    </row>
    <row r="95" spans="1:7" x14ac:dyDescent="0.25">
      <c r="A95" s="114"/>
      <c r="B95" s="115"/>
      <c r="C95" s="115"/>
      <c r="D95" s="115"/>
      <c r="E95" s="115" t="s">
        <v>326</v>
      </c>
      <c r="F95" s="121" t="s">
        <v>322</v>
      </c>
      <c r="G95" s="116" t="s">
        <v>194</v>
      </c>
    </row>
    <row r="96" spans="1:7" x14ac:dyDescent="0.25">
      <c r="A96" s="111"/>
      <c r="B96" s="112"/>
      <c r="C96" s="112"/>
      <c r="D96" s="112"/>
      <c r="E96" s="112" t="s">
        <v>327</v>
      </c>
      <c r="F96" s="120">
        <v>0</v>
      </c>
      <c r="G96" s="113" t="s">
        <v>303</v>
      </c>
    </row>
    <row r="97" spans="1:7" x14ac:dyDescent="0.25">
      <c r="A97" s="114"/>
      <c r="B97" s="115"/>
      <c r="C97" s="115"/>
      <c r="D97" s="115"/>
      <c r="E97" s="115" t="s">
        <v>328</v>
      </c>
      <c r="F97" s="121">
        <v>3</v>
      </c>
      <c r="G97" s="116" t="s">
        <v>303</v>
      </c>
    </row>
    <row r="98" spans="1:7" x14ac:dyDescent="0.25">
      <c r="A98" s="111"/>
      <c r="B98" s="112"/>
      <c r="C98" s="112"/>
      <c r="D98" s="112"/>
      <c r="E98" s="112" t="s">
        <v>329</v>
      </c>
      <c r="F98" s="120">
        <v>108</v>
      </c>
      <c r="G98" s="113" t="s">
        <v>303</v>
      </c>
    </row>
    <row r="99" spans="1:7" x14ac:dyDescent="0.25">
      <c r="A99" s="114"/>
      <c r="B99" s="115"/>
      <c r="C99" s="115"/>
      <c r="D99" s="115"/>
      <c r="E99" s="115" t="s">
        <v>330</v>
      </c>
      <c r="F99" s="121" t="s">
        <v>315</v>
      </c>
      <c r="G99" s="116" t="s">
        <v>316</v>
      </c>
    </row>
    <row r="100" spans="1:7" x14ac:dyDescent="0.25">
      <c r="A100" s="111" t="s">
        <v>331</v>
      </c>
      <c r="B100" s="112"/>
      <c r="C100" s="112"/>
      <c r="D100" s="112"/>
      <c r="E100" s="112" t="s">
        <v>332</v>
      </c>
      <c r="F100" s="120"/>
      <c r="G100" s="113"/>
    </row>
    <row r="101" spans="1:7" x14ac:dyDescent="0.25">
      <c r="A101" s="114" t="s">
        <v>331</v>
      </c>
      <c r="B101" s="115"/>
      <c r="C101" s="115"/>
      <c r="D101" s="115"/>
      <c r="E101" s="115" t="s">
        <v>338</v>
      </c>
      <c r="F101" s="121"/>
      <c r="G101" s="116"/>
    </row>
    <row r="102" spans="1:7" x14ac:dyDescent="0.25">
      <c r="A102" s="111"/>
      <c r="B102" s="112"/>
      <c r="C102" s="112" t="s">
        <v>339</v>
      </c>
      <c r="D102" s="112"/>
      <c r="E102" s="112"/>
      <c r="F102" s="120">
        <v>6</v>
      </c>
      <c r="G102" s="113" t="s">
        <v>303</v>
      </c>
    </row>
    <row r="103" spans="1:7" x14ac:dyDescent="0.25">
      <c r="A103" s="114" t="s">
        <v>304</v>
      </c>
      <c r="B103" s="115"/>
      <c r="C103" s="115" t="s">
        <v>340</v>
      </c>
      <c r="D103" s="115"/>
      <c r="E103" s="115"/>
      <c r="F103" s="121" t="s">
        <v>341</v>
      </c>
      <c r="G103" s="116" t="s">
        <v>342</v>
      </c>
    </row>
    <row r="104" spans="1:7" ht="45" x14ac:dyDescent="0.25">
      <c r="A104" s="111" t="s">
        <v>304</v>
      </c>
      <c r="B104" s="112"/>
      <c r="C104" s="112"/>
      <c r="D104" s="112" t="s">
        <v>311</v>
      </c>
      <c r="E104" s="112"/>
      <c r="F104" s="120" t="s">
        <v>343</v>
      </c>
      <c r="G104" s="113" t="s">
        <v>344</v>
      </c>
    </row>
    <row r="105" spans="1:7" x14ac:dyDescent="0.25">
      <c r="A105" s="114"/>
      <c r="B105" s="115"/>
      <c r="C105" s="115"/>
      <c r="D105" s="115"/>
      <c r="E105" s="115" t="s">
        <v>345</v>
      </c>
      <c r="F105" s="121" t="s">
        <v>346</v>
      </c>
      <c r="G105" s="116" t="s">
        <v>347</v>
      </c>
    </row>
    <row r="106" spans="1:7" x14ac:dyDescent="0.25">
      <c r="A106" s="111"/>
      <c r="B106" s="112"/>
      <c r="C106" s="112"/>
      <c r="D106" s="112"/>
      <c r="E106" s="112" t="s">
        <v>348</v>
      </c>
      <c r="F106" s="120" t="s">
        <v>349</v>
      </c>
      <c r="G106" s="113" t="s">
        <v>350</v>
      </c>
    </row>
    <row r="107" spans="1:7" x14ac:dyDescent="0.25">
      <c r="A107" s="114"/>
      <c r="B107" s="115"/>
      <c r="C107" s="115"/>
      <c r="D107" s="115"/>
      <c r="E107" s="115" t="s">
        <v>351</v>
      </c>
      <c r="F107" s="121">
        <v>21</v>
      </c>
      <c r="G107" s="116" t="s">
        <v>303</v>
      </c>
    </row>
    <row r="108" spans="1:7" x14ac:dyDescent="0.25">
      <c r="A108" s="111"/>
      <c r="B108" s="112"/>
      <c r="C108" s="112"/>
      <c r="D108" s="112"/>
      <c r="E108" s="112" t="s">
        <v>352</v>
      </c>
      <c r="F108" s="120" t="s">
        <v>353</v>
      </c>
      <c r="G108" s="113" t="s">
        <v>194</v>
      </c>
    </row>
    <row r="109" spans="1:7" x14ac:dyDescent="0.25">
      <c r="A109" s="114"/>
      <c r="B109" s="115"/>
      <c r="C109" s="115"/>
      <c r="D109" s="115"/>
      <c r="E109" s="115" t="s">
        <v>354</v>
      </c>
      <c r="F109" s="121" t="s">
        <v>346</v>
      </c>
      <c r="G109" s="116" t="s">
        <v>347</v>
      </c>
    </row>
    <row r="110" spans="1:7" x14ac:dyDescent="0.25">
      <c r="A110" s="111"/>
      <c r="B110" s="112"/>
      <c r="C110" s="112"/>
      <c r="D110" s="112"/>
      <c r="E110" s="112" t="s">
        <v>198</v>
      </c>
      <c r="F110" s="120" t="s">
        <v>353</v>
      </c>
      <c r="G110" s="113" t="s">
        <v>194</v>
      </c>
    </row>
    <row r="111" spans="1:7" x14ac:dyDescent="0.25">
      <c r="A111" s="114"/>
      <c r="B111" s="115"/>
      <c r="C111" s="115"/>
      <c r="D111" s="115"/>
      <c r="E111" s="115" t="s">
        <v>355</v>
      </c>
      <c r="F111" s="121">
        <v>21</v>
      </c>
      <c r="G111" s="116" t="s">
        <v>303</v>
      </c>
    </row>
    <row r="112" spans="1:7" x14ac:dyDescent="0.25">
      <c r="A112" s="111"/>
      <c r="B112" s="112"/>
      <c r="C112" s="112"/>
      <c r="D112" s="112"/>
      <c r="E112" s="112" t="s">
        <v>356</v>
      </c>
      <c r="F112" s="120" t="s">
        <v>349</v>
      </c>
      <c r="G112" s="113" t="s">
        <v>350</v>
      </c>
    </row>
    <row r="113" spans="1:7" x14ac:dyDescent="0.25">
      <c r="A113" s="114" t="s">
        <v>331</v>
      </c>
      <c r="B113" s="115"/>
      <c r="C113" s="115"/>
      <c r="D113" s="115"/>
      <c r="E113" s="115" t="s">
        <v>338</v>
      </c>
      <c r="F113" s="121"/>
      <c r="G113" s="116"/>
    </row>
    <row r="114" spans="1:7" ht="45" x14ac:dyDescent="0.25">
      <c r="A114" s="111"/>
      <c r="B114" s="112"/>
      <c r="C114" s="112" t="s">
        <v>357</v>
      </c>
      <c r="D114" s="112"/>
      <c r="E114" s="112"/>
      <c r="F114" s="120" t="s">
        <v>358</v>
      </c>
      <c r="G114" s="113" t="s">
        <v>194</v>
      </c>
    </row>
    <row r="115" spans="1:7" x14ac:dyDescent="0.25">
      <c r="A115" s="114" t="s">
        <v>304</v>
      </c>
      <c r="B115" s="115"/>
      <c r="C115" s="115" t="s">
        <v>359</v>
      </c>
      <c r="D115" s="115"/>
      <c r="E115" s="115"/>
      <c r="F115" s="121" t="s">
        <v>309</v>
      </c>
      <c r="G115" s="116" t="s">
        <v>310</v>
      </c>
    </row>
    <row r="116" spans="1:7" x14ac:dyDescent="0.25">
      <c r="A116" s="111" t="s">
        <v>304</v>
      </c>
      <c r="B116" s="112"/>
      <c r="C116" s="112"/>
      <c r="D116" s="112" t="s">
        <v>311</v>
      </c>
      <c r="E116" s="112"/>
      <c r="F116" s="120" t="s">
        <v>312</v>
      </c>
      <c r="G116" s="113" t="s">
        <v>313</v>
      </c>
    </row>
    <row r="117" spans="1:7" x14ac:dyDescent="0.25">
      <c r="A117" s="114"/>
      <c r="B117" s="115"/>
      <c r="C117" s="115"/>
      <c r="D117" s="115"/>
      <c r="E117" s="115" t="s">
        <v>314</v>
      </c>
      <c r="F117" s="121" t="s">
        <v>315</v>
      </c>
      <c r="G117" s="116" t="s">
        <v>316</v>
      </c>
    </row>
    <row r="118" spans="1:7" x14ac:dyDescent="0.25">
      <c r="A118" s="111"/>
      <c r="B118" s="112"/>
      <c r="C118" s="112"/>
      <c r="D118" s="112"/>
      <c r="E118" s="112" t="s">
        <v>317</v>
      </c>
      <c r="F118" s="120">
        <v>1</v>
      </c>
      <c r="G118" s="113" t="s">
        <v>303</v>
      </c>
    </row>
    <row r="119" spans="1:7" x14ac:dyDescent="0.25">
      <c r="A119" s="114"/>
      <c r="B119" s="115"/>
      <c r="C119" s="115"/>
      <c r="D119" s="115"/>
      <c r="E119" s="115" t="s">
        <v>318</v>
      </c>
      <c r="F119" s="121">
        <v>0</v>
      </c>
      <c r="G119" s="116" t="s">
        <v>303</v>
      </c>
    </row>
    <row r="120" spans="1:7" x14ac:dyDescent="0.25">
      <c r="A120" s="111"/>
      <c r="B120" s="112"/>
      <c r="C120" s="112"/>
      <c r="D120" s="112"/>
      <c r="E120" s="112" t="s">
        <v>319</v>
      </c>
      <c r="F120" s="120">
        <v>3</v>
      </c>
      <c r="G120" s="113" t="s">
        <v>303</v>
      </c>
    </row>
    <row r="121" spans="1:7" x14ac:dyDescent="0.25">
      <c r="A121" s="114"/>
      <c r="B121" s="115"/>
      <c r="C121" s="115"/>
      <c r="D121" s="115"/>
      <c r="E121" s="115" t="s">
        <v>320</v>
      </c>
      <c r="F121" s="121">
        <v>25</v>
      </c>
      <c r="G121" s="116" t="s">
        <v>303</v>
      </c>
    </row>
    <row r="122" spans="1:7" x14ac:dyDescent="0.25">
      <c r="A122" s="111"/>
      <c r="B122" s="112"/>
      <c r="C122" s="112"/>
      <c r="D122" s="112"/>
      <c r="E122" s="112" t="s">
        <v>321</v>
      </c>
      <c r="F122" s="120" t="s">
        <v>322</v>
      </c>
      <c r="G122" s="113" t="s">
        <v>194</v>
      </c>
    </row>
    <row r="123" spans="1:7" x14ac:dyDescent="0.25">
      <c r="A123" s="114"/>
      <c r="B123" s="115"/>
      <c r="C123" s="115"/>
      <c r="D123" s="115"/>
      <c r="E123" s="115" t="s">
        <v>323</v>
      </c>
      <c r="F123" s="121">
        <v>1</v>
      </c>
      <c r="G123" s="116" t="s">
        <v>189</v>
      </c>
    </row>
    <row r="124" spans="1:7" x14ac:dyDescent="0.25">
      <c r="A124" s="111"/>
      <c r="B124" s="112"/>
      <c r="C124" s="112"/>
      <c r="D124" s="112"/>
      <c r="E124" s="112" t="s">
        <v>324</v>
      </c>
      <c r="F124" s="120">
        <v>1</v>
      </c>
      <c r="G124" s="113" t="s">
        <v>189</v>
      </c>
    </row>
    <row r="125" spans="1:7" x14ac:dyDescent="0.25">
      <c r="A125" s="114"/>
      <c r="B125" s="115"/>
      <c r="C125" s="115"/>
      <c r="D125" s="115"/>
      <c r="E125" s="115" t="s">
        <v>325</v>
      </c>
      <c r="F125" s="121">
        <v>1</v>
      </c>
      <c r="G125" s="116" t="s">
        <v>303</v>
      </c>
    </row>
    <row r="126" spans="1:7" x14ac:dyDescent="0.25">
      <c r="A126" s="111"/>
      <c r="B126" s="112"/>
      <c r="C126" s="112"/>
      <c r="D126" s="112"/>
      <c r="E126" s="112" t="s">
        <v>326</v>
      </c>
      <c r="F126" s="120" t="s">
        <v>322</v>
      </c>
      <c r="G126" s="113" t="s">
        <v>194</v>
      </c>
    </row>
    <row r="127" spans="1:7" x14ac:dyDescent="0.25">
      <c r="A127" s="114"/>
      <c r="B127" s="115"/>
      <c r="C127" s="115"/>
      <c r="D127" s="115"/>
      <c r="E127" s="115" t="s">
        <v>327</v>
      </c>
      <c r="F127" s="121">
        <v>0</v>
      </c>
      <c r="G127" s="116" t="s">
        <v>303</v>
      </c>
    </row>
    <row r="128" spans="1:7" x14ac:dyDescent="0.25">
      <c r="A128" s="111"/>
      <c r="B128" s="112"/>
      <c r="C128" s="112"/>
      <c r="D128" s="112"/>
      <c r="E128" s="112" t="s">
        <v>328</v>
      </c>
      <c r="F128" s="120">
        <v>3</v>
      </c>
      <c r="G128" s="113" t="s">
        <v>303</v>
      </c>
    </row>
    <row r="129" spans="1:7" x14ac:dyDescent="0.25">
      <c r="A129" s="114"/>
      <c r="B129" s="115"/>
      <c r="C129" s="115"/>
      <c r="D129" s="115"/>
      <c r="E129" s="115" t="s">
        <v>329</v>
      </c>
      <c r="F129" s="121">
        <v>25</v>
      </c>
      <c r="G129" s="116" t="s">
        <v>303</v>
      </c>
    </row>
    <row r="130" spans="1:7" x14ac:dyDescent="0.25">
      <c r="A130" s="111"/>
      <c r="B130" s="112"/>
      <c r="C130" s="112"/>
      <c r="D130" s="112"/>
      <c r="E130" s="112" t="s">
        <v>330</v>
      </c>
      <c r="F130" s="120" t="s">
        <v>315</v>
      </c>
      <c r="G130" s="113" t="s">
        <v>316</v>
      </c>
    </row>
    <row r="131" spans="1:7" x14ac:dyDescent="0.25">
      <c r="A131" s="114" t="s">
        <v>331</v>
      </c>
      <c r="B131" s="115"/>
      <c r="C131" s="115"/>
      <c r="D131" s="115"/>
      <c r="E131" s="115" t="s">
        <v>332</v>
      </c>
      <c r="F131" s="121"/>
      <c r="G131" s="116"/>
    </row>
    <row r="132" spans="1:7" x14ac:dyDescent="0.25">
      <c r="A132" s="111" t="s">
        <v>304</v>
      </c>
      <c r="B132" s="112"/>
      <c r="C132" s="112"/>
      <c r="D132" s="112" t="s">
        <v>333</v>
      </c>
      <c r="E132" s="112"/>
      <c r="F132" s="120" t="s">
        <v>312</v>
      </c>
      <c r="G132" s="113" t="s">
        <v>313</v>
      </c>
    </row>
    <row r="133" spans="1:7" x14ac:dyDescent="0.25">
      <c r="A133" s="114"/>
      <c r="B133" s="115"/>
      <c r="C133" s="115"/>
      <c r="D133" s="115"/>
      <c r="E133" s="115" t="s">
        <v>314</v>
      </c>
      <c r="F133" s="121" t="s">
        <v>315</v>
      </c>
      <c r="G133" s="116" t="s">
        <v>316</v>
      </c>
    </row>
    <row r="134" spans="1:7" x14ac:dyDescent="0.25">
      <c r="A134" s="111"/>
      <c r="B134" s="112"/>
      <c r="C134" s="112"/>
      <c r="D134" s="112"/>
      <c r="E134" s="112" t="s">
        <v>317</v>
      </c>
      <c r="F134" s="120">
        <v>4</v>
      </c>
      <c r="G134" s="113" t="s">
        <v>303</v>
      </c>
    </row>
    <row r="135" spans="1:7" x14ac:dyDescent="0.25">
      <c r="A135" s="114"/>
      <c r="B135" s="115"/>
      <c r="C135" s="115"/>
      <c r="D135" s="115"/>
      <c r="E135" s="115" t="s">
        <v>318</v>
      </c>
      <c r="F135" s="121">
        <v>0</v>
      </c>
      <c r="G135" s="116" t="s">
        <v>303</v>
      </c>
    </row>
    <row r="136" spans="1:7" x14ac:dyDescent="0.25">
      <c r="A136" s="111"/>
      <c r="B136" s="112"/>
      <c r="C136" s="112"/>
      <c r="D136" s="112"/>
      <c r="E136" s="112" t="s">
        <v>319</v>
      </c>
      <c r="F136" s="120">
        <v>3</v>
      </c>
      <c r="G136" s="113" t="s">
        <v>303</v>
      </c>
    </row>
    <row r="137" spans="1:7" x14ac:dyDescent="0.25">
      <c r="A137" s="114"/>
      <c r="B137" s="115"/>
      <c r="C137" s="115"/>
      <c r="D137" s="115"/>
      <c r="E137" s="115" t="s">
        <v>320</v>
      </c>
      <c r="F137" s="121">
        <v>28</v>
      </c>
      <c r="G137" s="116" t="s">
        <v>303</v>
      </c>
    </row>
    <row r="138" spans="1:7" x14ac:dyDescent="0.25">
      <c r="A138" s="111"/>
      <c r="B138" s="112"/>
      <c r="C138" s="112"/>
      <c r="D138" s="112"/>
      <c r="E138" s="112" t="s">
        <v>321</v>
      </c>
      <c r="F138" s="120" t="s">
        <v>322</v>
      </c>
      <c r="G138" s="113" t="s">
        <v>194</v>
      </c>
    </row>
    <row r="139" spans="1:7" x14ac:dyDescent="0.25">
      <c r="A139" s="114"/>
      <c r="B139" s="115"/>
      <c r="C139" s="115"/>
      <c r="D139" s="115"/>
      <c r="E139" s="115" t="s">
        <v>323</v>
      </c>
      <c r="F139" s="121">
        <v>2</v>
      </c>
      <c r="G139" s="116" t="s">
        <v>189</v>
      </c>
    </row>
    <row r="140" spans="1:7" x14ac:dyDescent="0.25">
      <c r="A140" s="111"/>
      <c r="B140" s="112"/>
      <c r="C140" s="112"/>
      <c r="D140" s="112"/>
      <c r="E140" s="112" t="s">
        <v>324</v>
      </c>
      <c r="F140" s="120">
        <v>2</v>
      </c>
      <c r="G140" s="113" t="s">
        <v>189</v>
      </c>
    </row>
    <row r="141" spans="1:7" x14ac:dyDescent="0.25">
      <c r="A141" s="114"/>
      <c r="B141" s="115"/>
      <c r="C141" s="115"/>
      <c r="D141" s="115"/>
      <c r="E141" s="115" t="s">
        <v>325</v>
      </c>
      <c r="F141" s="121">
        <v>4</v>
      </c>
      <c r="G141" s="116" t="s">
        <v>303</v>
      </c>
    </row>
    <row r="142" spans="1:7" x14ac:dyDescent="0.25">
      <c r="A142" s="111"/>
      <c r="B142" s="112"/>
      <c r="C142" s="112"/>
      <c r="D142" s="112"/>
      <c r="E142" s="112" t="s">
        <v>326</v>
      </c>
      <c r="F142" s="120" t="s">
        <v>322</v>
      </c>
      <c r="G142" s="113" t="s">
        <v>194</v>
      </c>
    </row>
    <row r="143" spans="1:7" x14ac:dyDescent="0.25">
      <c r="A143" s="114"/>
      <c r="B143" s="115"/>
      <c r="C143" s="115"/>
      <c r="D143" s="115"/>
      <c r="E143" s="115" t="s">
        <v>327</v>
      </c>
      <c r="F143" s="121">
        <v>0</v>
      </c>
      <c r="G143" s="116" t="s">
        <v>303</v>
      </c>
    </row>
    <row r="144" spans="1:7" x14ac:dyDescent="0.25">
      <c r="A144" s="111"/>
      <c r="B144" s="112"/>
      <c r="C144" s="112"/>
      <c r="D144" s="112"/>
      <c r="E144" s="112" t="s">
        <v>328</v>
      </c>
      <c r="F144" s="120">
        <v>3</v>
      </c>
      <c r="G144" s="113" t="s">
        <v>303</v>
      </c>
    </row>
    <row r="145" spans="1:7" x14ac:dyDescent="0.25">
      <c r="A145" s="114"/>
      <c r="B145" s="115"/>
      <c r="C145" s="115"/>
      <c r="D145" s="115"/>
      <c r="E145" s="115" t="s">
        <v>329</v>
      </c>
      <c r="F145" s="121">
        <v>28</v>
      </c>
      <c r="G145" s="116" t="s">
        <v>303</v>
      </c>
    </row>
    <row r="146" spans="1:7" x14ac:dyDescent="0.25">
      <c r="A146" s="111"/>
      <c r="B146" s="112"/>
      <c r="C146" s="112"/>
      <c r="D146" s="112"/>
      <c r="E146" s="112" t="s">
        <v>330</v>
      </c>
      <c r="F146" s="120" t="s">
        <v>315</v>
      </c>
      <c r="G146" s="113" t="s">
        <v>316</v>
      </c>
    </row>
    <row r="147" spans="1:7" x14ac:dyDescent="0.25">
      <c r="A147" s="114" t="s">
        <v>331</v>
      </c>
      <c r="B147" s="115"/>
      <c r="C147" s="115"/>
      <c r="D147" s="115"/>
      <c r="E147" s="115" t="s">
        <v>332</v>
      </c>
      <c r="F147" s="121"/>
      <c r="G147" s="116"/>
    </row>
    <row r="148" spans="1:7" x14ac:dyDescent="0.25">
      <c r="A148" s="111" t="s">
        <v>304</v>
      </c>
      <c r="B148" s="112"/>
      <c r="C148" s="112"/>
      <c r="D148" s="112" t="s">
        <v>334</v>
      </c>
      <c r="E148" s="112"/>
      <c r="F148" s="120" t="s">
        <v>312</v>
      </c>
      <c r="G148" s="113" t="s">
        <v>313</v>
      </c>
    </row>
    <row r="149" spans="1:7" x14ac:dyDescent="0.25">
      <c r="A149" s="114"/>
      <c r="B149" s="115"/>
      <c r="C149" s="115"/>
      <c r="D149" s="115"/>
      <c r="E149" s="115" t="s">
        <v>314</v>
      </c>
      <c r="F149" s="121" t="s">
        <v>315</v>
      </c>
      <c r="G149" s="116" t="s">
        <v>316</v>
      </c>
    </row>
    <row r="150" spans="1:7" x14ac:dyDescent="0.25">
      <c r="A150" s="111"/>
      <c r="B150" s="112"/>
      <c r="C150" s="112"/>
      <c r="D150" s="112"/>
      <c r="E150" s="112" t="s">
        <v>317</v>
      </c>
      <c r="F150" s="120">
        <v>2</v>
      </c>
      <c r="G150" s="113" t="s">
        <v>303</v>
      </c>
    </row>
    <row r="151" spans="1:7" x14ac:dyDescent="0.25">
      <c r="A151" s="114"/>
      <c r="B151" s="115"/>
      <c r="C151" s="115"/>
      <c r="D151" s="115"/>
      <c r="E151" s="115" t="s">
        <v>318</v>
      </c>
      <c r="F151" s="121">
        <v>0</v>
      </c>
      <c r="G151" s="116" t="s">
        <v>303</v>
      </c>
    </row>
    <row r="152" spans="1:7" x14ac:dyDescent="0.25">
      <c r="A152" s="111"/>
      <c r="B152" s="112"/>
      <c r="C152" s="112"/>
      <c r="D152" s="112"/>
      <c r="E152" s="112" t="s">
        <v>319</v>
      </c>
      <c r="F152" s="120">
        <v>3</v>
      </c>
      <c r="G152" s="113" t="s">
        <v>303</v>
      </c>
    </row>
    <row r="153" spans="1:7" x14ac:dyDescent="0.25">
      <c r="A153" s="114"/>
      <c r="B153" s="115"/>
      <c r="C153" s="115"/>
      <c r="D153" s="115"/>
      <c r="E153" s="115" t="s">
        <v>320</v>
      </c>
      <c r="F153" s="121">
        <v>65</v>
      </c>
      <c r="G153" s="116" t="s">
        <v>303</v>
      </c>
    </row>
    <row r="154" spans="1:7" x14ac:dyDescent="0.25">
      <c r="A154" s="111"/>
      <c r="B154" s="112"/>
      <c r="C154" s="112"/>
      <c r="D154" s="112"/>
      <c r="E154" s="112" t="s">
        <v>321</v>
      </c>
      <c r="F154" s="120" t="s">
        <v>322</v>
      </c>
      <c r="G154" s="113" t="s">
        <v>194</v>
      </c>
    </row>
    <row r="155" spans="1:7" x14ac:dyDescent="0.25">
      <c r="A155" s="114"/>
      <c r="B155" s="115"/>
      <c r="C155" s="115"/>
      <c r="D155" s="115"/>
      <c r="E155" s="115" t="s">
        <v>323</v>
      </c>
      <c r="F155" s="121">
        <v>3</v>
      </c>
      <c r="G155" s="116" t="s">
        <v>189</v>
      </c>
    </row>
    <row r="156" spans="1:7" x14ac:dyDescent="0.25">
      <c r="A156" s="111"/>
      <c r="B156" s="112"/>
      <c r="C156" s="112"/>
      <c r="D156" s="112"/>
      <c r="E156" s="112" t="s">
        <v>324</v>
      </c>
      <c r="F156" s="120">
        <v>3</v>
      </c>
      <c r="G156" s="113" t="s">
        <v>189</v>
      </c>
    </row>
    <row r="157" spans="1:7" x14ac:dyDescent="0.25">
      <c r="A157" s="114"/>
      <c r="B157" s="115"/>
      <c r="C157" s="115"/>
      <c r="D157" s="115"/>
      <c r="E157" s="115" t="s">
        <v>325</v>
      </c>
      <c r="F157" s="121">
        <v>2</v>
      </c>
      <c r="G157" s="116" t="s">
        <v>303</v>
      </c>
    </row>
    <row r="158" spans="1:7" x14ac:dyDescent="0.25">
      <c r="A158" s="111"/>
      <c r="B158" s="112"/>
      <c r="C158" s="112"/>
      <c r="D158" s="112"/>
      <c r="E158" s="112" t="s">
        <v>326</v>
      </c>
      <c r="F158" s="120" t="s">
        <v>322</v>
      </c>
      <c r="G158" s="113" t="s">
        <v>194</v>
      </c>
    </row>
    <row r="159" spans="1:7" x14ac:dyDescent="0.25">
      <c r="A159" s="114"/>
      <c r="B159" s="115"/>
      <c r="C159" s="115"/>
      <c r="D159" s="115"/>
      <c r="E159" s="115" t="s">
        <v>327</v>
      </c>
      <c r="F159" s="121">
        <v>0</v>
      </c>
      <c r="G159" s="116" t="s">
        <v>303</v>
      </c>
    </row>
    <row r="160" spans="1:7" x14ac:dyDescent="0.25">
      <c r="A160" s="111"/>
      <c r="B160" s="112"/>
      <c r="C160" s="112"/>
      <c r="D160" s="112"/>
      <c r="E160" s="112" t="s">
        <v>328</v>
      </c>
      <c r="F160" s="120">
        <v>3</v>
      </c>
      <c r="G160" s="113" t="s">
        <v>303</v>
      </c>
    </row>
    <row r="161" spans="1:7" x14ac:dyDescent="0.25">
      <c r="A161" s="114"/>
      <c r="B161" s="115"/>
      <c r="C161" s="115"/>
      <c r="D161" s="115"/>
      <c r="E161" s="115" t="s">
        <v>329</v>
      </c>
      <c r="F161" s="121">
        <v>65</v>
      </c>
      <c r="G161" s="116" t="s">
        <v>303</v>
      </c>
    </row>
    <row r="162" spans="1:7" x14ac:dyDescent="0.25">
      <c r="A162" s="111"/>
      <c r="B162" s="112"/>
      <c r="C162" s="112"/>
      <c r="D162" s="112"/>
      <c r="E162" s="112" t="s">
        <v>330</v>
      </c>
      <c r="F162" s="120" t="s">
        <v>315</v>
      </c>
      <c r="G162" s="113" t="s">
        <v>316</v>
      </c>
    </row>
    <row r="163" spans="1:7" x14ac:dyDescent="0.25">
      <c r="A163" s="114" t="s">
        <v>331</v>
      </c>
      <c r="B163" s="115"/>
      <c r="C163" s="115"/>
      <c r="D163" s="115"/>
      <c r="E163" s="115" t="s">
        <v>332</v>
      </c>
      <c r="F163" s="121"/>
      <c r="G163" s="116"/>
    </row>
    <row r="164" spans="1:7" x14ac:dyDescent="0.25">
      <c r="A164" s="111" t="s">
        <v>304</v>
      </c>
      <c r="B164" s="112"/>
      <c r="C164" s="112"/>
      <c r="D164" s="112" t="s">
        <v>335</v>
      </c>
      <c r="E164" s="112"/>
      <c r="F164" s="120" t="s">
        <v>312</v>
      </c>
      <c r="G164" s="113" t="s">
        <v>313</v>
      </c>
    </row>
    <row r="165" spans="1:7" x14ac:dyDescent="0.25">
      <c r="A165" s="114"/>
      <c r="B165" s="115"/>
      <c r="C165" s="115"/>
      <c r="D165" s="115"/>
      <c r="E165" s="115" t="s">
        <v>314</v>
      </c>
      <c r="F165" s="121" t="s">
        <v>315</v>
      </c>
      <c r="G165" s="116" t="s">
        <v>316</v>
      </c>
    </row>
    <row r="166" spans="1:7" x14ac:dyDescent="0.25">
      <c r="A166" s="111"/>
      <c r="B166" s="112"/>
      <c r="C166" s="112"/>
      <c r="D166" s="112"/>
      <c r="E166" s="112" t="s">
        <v>317</v>
      </c>
      <c r="F166" s="120">
        <v>6</v>
      </c>
      <c r="G166" s="113" t="s">
        <v>303</v>
      </c>
    </row>
    <row r="167" spans="1:7" x14ac:dyDescent="0.25">
      <c r="A167" s="114"/>
      <c r="B167" s="115"/>
      <c r="C167" s="115"/>
      <c r="D167" s="115"/>
      <c r="E167" s="115" t="s">
        <v>318</v>
      </c>
      <c r="F167" s="121">
        <v>0</v>
      </c>
      <c r="G167" s="116" t="s">
        <v>303</v>
      </c>
    </row>
    <row r="168" spans="1:7" x14ac:dyDescent="0.25">
      <c r="A168" s="111"/>
      <c r="B168" s="112"/>
      <c r="C168" s="112"/>
      <c r="D168" s="112"/>
      <c r="E168" s="112" t="s">
        <v>319</v>
      </c>
      <c r="F168" s="120">
        <v>3</v>
      </c>
      <c r="G168" s="113" t="s">
        <v>303</v>
      </c>
    </row>
    <row r="169" spans="1:7" x14ac:dyDescent="0.25">
      <c r="A169" s="114"/>
      <c r="B169" s="115"/>
      <c r="C169" s="115"/>
      <c r="D169" s="115"/>
      <c r="E169" s="115" t="s">
        <v>320</v>
      </c>
      <c r="F169" s="121">
        <v>68</v>
      </c>
      <c r="G169" s="116" t="s">
        <v>303</v>
      </c>
    </row>
    <row r="170" spans="1:7" x14ac:dyDescent="0.25">
      <c r="A170" s="111"/>
      <c r="B170" s="112"/>
      <c r="C170" s="112"/>
      <c r="D170" s="112"/>
      <c r="E170" s="112" t="s">
        <v>321</v>
      </c>
      <c r="F170" s="120" t="s">
        <v>322</v>
      </c>
      <c r="G170" s="113" t="s">
        <v>194</v>
      </c>
    </row>
    <row r="171" spans="1:7" x14ac:dyDescent="0.25">
      <c r="A171" s="114"/>
      <c r="B171" s="115"/>
      <c r="C171" s="115"/>
      <c r="D171" s="115"/>
      <c r="E171" s="115" t="s">
        <v>323</v>
      </c>
      <c r="F171" s="121">
        <v>4</v>
      </c>
      <c r="G171" s="116" t="s">
        <v>189</v>
      </c>
    </row>
    <row r="172" spans="1:7" x14ac:dyDescent="0.25">
      <c r="A172" s="111"/>
      <c r="B172" s="112"/>
      <c r="C172" s="112"/>
      <c r="D172" s="112"/>
      <c r="E172" s="112" t="s">
        <v>324</v>
      </c>
      <c r="F172" s="120">
        <v>4</v>
      </c>
      <c r="G172" s="113" t="s">
        <v>189</v>
      </c>
    </row>
    <row r="173" spans="1:7" x14ac:dyDescent="0.25">
      <c r="A173" s="114"/>
      <c r="B173" s="115"/>
      <c r="C173" s="115"/>
      <c r="D173" s="115"/>
      <c r="E173" s="115" t="s">
        <v>325</v>
      </c>
      <c r="F173" s="121">
        <v>6</v>
      </c>
      <c r="G173" s="116" t="s">
        <v>303</v>
      </c>
    </row>
    <row r="174" spans="1:7" x14ac:dyDescent="0.25">
      <c r="A174" s="111"/>
      <c r="B174" s="112"/>
      <c r="C174" s="112"/>
      <c r="D174" s="112"/>
      <c r="E174" s="112" t="s">
        <v>326</v>
      </c>
      <c r="F174" s="120" t="s">
        <v>322</v>
      </c>
      <c r="G174" s="113" t="s">
        <v>194</v>
      </c>
    </row>
    <row r="175" spans="1:7" x14ac:dyDescent="0.25">
      <c r="A175" s="114"/>
      <c r="B175" s="115"/>
      <c r="C175" s="115"/>
      <c r="D175" s="115"/>
      <c r="E175" s="115" t="s">
        <v>327</v>
      </c>
      <c r="F175" s="121">
        <v>0</v>
      </c>
      <c r="G175" s="116" t="s">
        <v>303</v>
      </c>
    </row>
    <row r="176" spans="1:7" x14ac:dyDescent="0.25">
      <c r="A176" s="111"/>
      <c r="B176" s="112"/>
      <c r="C176" s="112"/>
      <c r="D176" s="112"/>
      <c r="E176" s="112" t="s">
        <v>328</v>
      </c>
      <c r="F176" s="120">
        <v>3</v>
      </c>
      <c r="G176" s="113" t="s">
        <v>303</v>
      </c>
    </row>
    <row r="177" spans="1:7" x14ac:dyDescent="0.25">
      <c r="A177" s="114"/>
      <c r="B177" s="115"/>
      <c r="C177" s="115"/>
      <c r="D177" s="115"/>
      <c r="E177" s="115" t="s">
        <v>329</v>
      </c>
      <c r="F177" s="121">
        <v>68</v>
      </c>
      <c r="G177" s="116" t="s">
        <v>303</v>
      </c>
    </row>
    <row r="178" spans="1:7" x14ac:dyDescent="0.25">
      <c r="A178" s="111"/>
      <c r="B178" s="112"/>
      <c r="C178" s="112"/>
      <c r="D178" s="112"/>
      <c r="E178" s="112" t="s">
        <v>330</v>
      </c>
      <c r="F178" s="120" t="s">
        <v>315</v>
      </c>
      <c r="G178" s="113" t="s">
        <v>316</v>
      </c>
    </row>
    <row r="179" spans="1:7" x14ac:dyDescent="0.25">
      <c r="A179" s="114" t="s">
        <v>331</v>
      </c>
      <c r="B179" s="115"/>
      <c r="C179" s="115"/>
      <c r="D179" s="115"/>
      <c r="E179" s="115" t="s">
        <v>332</v>
      </c>
      <c r="F179" s="121"/>
      <c r="G179" s="116"/>
    </row>
    <row r="180" spans="1:7" x14ac:dyDescent="0.25">
      <c r="A180" s="111" t="s">
        <v>304</v>
      </c>
      <c r="B180" s="112"/>
      <c r="C180" s="112"/>
      <c r="D180" s="112" t="s">
        <v>336</v>
      </c>
      <c r="E180" s="112"/>
      <c r="F180" s="120" t="s">
        <v>312</v>
      </c>
      <c r="G180" s="113" t="s">
        <v>313</v>
      </c>
    </row>
    <row r="181" spans="1:7" x14ac:dyDescent="0.25">
      <c r="A181" s="114"/>
      <c r="B181" s="115"/>
      <c r="C181" s="115"/>
      <c r="D181" s="115"/>
      <c r="E181" s="115" t="s">
        <v>314</v>
      </c>
      <c r="F181" s="121" t="s">
        <v>315</v>
      </c>
      <c r="G181" s="116" t="s">
        <v>316</v>
      </c>
    </row>
    <row r="182" spans="1:7" x14ac:dyDescent="0.25">
      <c r="A182" s="111"/>
      <c r="B182" s="112"/>
      <c r="C182" s="112"/>
      <c r="D182" s="112"/>
      <c r="E182" s="112" t="s">
        <v>317</v>
      </c>
      <c r="F182" s="120">
        <v>3</v>
      </c>
      <c r="G182" s="113" t="s">
        <v>303</v>
      </c>
    </row>
    <row r="183" spans="1:7" x14ac:dyDescent="0.25">
      <c r="A183" s="114"/>
      <c r="B183" s="115"/>
      <c r="C183" s="115"/>
      <c r="D183" s="115"/>
      <c r="E183" s="115" t="s">
        <v>318</v>
      </c>
      <c r="F183" s="121">
        <v>0</v>
      </c>
      <c r="G183" s="116" t="s">
        <v>303</v>
      </c>
    </row>
    <row r="184" spans="1:7" x14ac:dyDescent="0.25">
      <c r="A184" s="111"/>
      <c r="B184" s="112"/>
      <c r="C184" s="112"/>
      <c r="D184" s="112"/>
      <c r="E184" s="112" t="s">
        <v>319</v>
      </c>
      <c r="F184" s="120">
        <v>3</v>
      </c>
      <c r="G184" s="113" t="s">
        <v>303</v>
      </c>
    </row>
    <row r="185" spans="1:7" x14ac:dyDescent="0.25">
      <c r="A185" s="114"/>
      <c r="B185" s="115"/>
      <c r="C185" s="115"/>
      <c r="D185" s="115"/>
      <c r="E185" s="115" t="s">
        <v>320</v>
      </c>
      <c r="F185" s="121">
        <v>105</v>
      </c>
      <c r="G185" s="116" t="s">
        <v>303</v>
      </c>
    </row>
    <row r="186" spans="1:7" x14ac:dyDescent="0.25">
      <c r="A186" s="111"/>
      <c r="B186" s="112"/>
      <c r="C186" s="112"/>
      <c r="D186" s="112"/>
      <c r="E186" s="112" t="s">
        <v>321</v>
      </c>
      <c r="F186" s="120" t="s">
        <v>322</v>
      </c>
      <c r="G186" s="113" t="s">
        <v>194</v>
      </c>
    </row>
    <row r="187" spans="1:7" x14ac:dyDescent="0.25">
      <c r="A187" s="114"/>
      <c r="B187" s="115"/>
      <c r="C187" s="115"/>
      <c r="D187" s="115"/>
      <c r="E187" s="115" t="s">
        <v>323</v>
      </c>
      <c r="F187" s="121">
        <v>5</v>
      </c>
      <c r="G187" s="116" t="s">
        <v>189</v>
      </c>
    </row>
    <row r="188" spans="1:7" x14ac:dyDescent="0.25">
      <c r="A188" s="111"/>
      <c r="B188" s="112"/>
      <c r="C188" s="112"/>
      <c r="D188" s="112"/>
      <c r="E188" s="112" t="s">
        <v>324</v>
      </c>
      <c r="F188" s="120">
        <v>5</v>
      </c>
      <c r="G188" s="113" t="s">
        <v>189</v>
      </c>
    </row>
    <row r="189" spans="1:7" x14ac:dyDescent="0.25">
      <c r="A189" s="114"/>
      <c r="B189" s="115"/>
      <c r="C189" s="115"/>
      <c r="D189" s="115"/>
      <c r="E189" s="115" t="s">
        <v>325</v>
      </c>
      <c r="F189" s="121">
        <v>3</v>
      </c>
      <c r="G189" s="116" t="s">
        <v>303</v>
      </c>
    </row>
    <row r="190" spans="1:7" x14ac:dyDescent="0.25">
      <c r="A190" s="111"/>
      <c r="B190" s="112"/>
      <c r="C190" s="112"/>
      <c r="D190" s="112"/>
      <c r="E190" s="112" t="s">
        <v>326</v>
      </c>
      <c r="F190" s="120" t="s">
        <v>322</v>
      </c>
      <c r="G190" s="113" t="s">
        <v>194</v>
      </c>
    </row>
    <row r="191" spans="1:7" x14ac:dyDescent="0.25">
      <c r="A191" s="114"/>
      <c r="B191" s="115"/>
      <c r="C191" s="115"/>
      <c r="D191" s="115"/>
      <c r="E191" s="115" t="s">
        <v>327</v>
      </c>
      <c r="F191" s="121">
        <v>0</v>
      </c>
      <c r="G191" s="116" t="s">
        <v>303</v>
      </c>
    </row>
    <row r="192" spans="1:7" x14ac:dyDescent="0.25">
      <c r="A192" s="111"/>
      <c r="B192" s="112"/>
      <c r="C192" s="112"/>
      <c r="D192" s="112"/>
      <c r="E192" s="112" t="s">
        <v>328</v>
      </c>
      <c r="F192" s="120">
        <v>3</v>
      </c>
      <c r="G192" s="113" t="s">
        <v>303</v>
      </c>
    </row>
    <row r="193" spans="1:7" x14ac:dyDescent="0.25">
      <c r="A193" s="114"/>
      <c r="B193" s="115"/>
      <c r="C193" s="115"/>
      <c r="D193" s="115"/>
      <c r="E193" s="115" t="s">
        <v>329</v>
      </c>
      <c r="F193" s="121">
        <v>105</v>
      </c>
      <c r="G193" s="116" t="s">
        <v>303</v>
      </c>
    </row>
    <row r="194" spans="1:7" x14ac:dyDescent="0.25">
      <c r="A194" s="111"/>
      <c r="B194" s="112"/>
      <c r="C194" s="112"/>
      <c r="D194" s="112"/>
      <c r="E194" s="112" t="s">
        <v>330</v>
      </c>
      <c r="F194" s="120" t="s">
        <v>315</v>
      </c>
      <c r="G194" s="113" t="s">
        <v>316</v>
      </c>
    </row>
    <row r="195" spans="1:7" x14ac:dyDescent="0.25">
      <c r="A195" s="114" t="s">
        <v>331</v>
      </c>
      <c r="B195" s="115"/>
      <c r="C195" s="115"/>
      <c r="D195" s="115"/>
      <c r="E195" s="115" t="s">
        <v>332</v>
      </c>
      <c r="F195" s="121"/>
      <c r="G195" s="116"/>
    </row>
    <row r="196" spans="1:7" x14ac:dyDescent="0.25">
      <c r="A196" s="111" t="s">
        <v>304</v>
      </c>
      <c r="B196" s="112"/>
      <c r="C196" s="112"/>
      <c r="D196" s="112" t="s">
        <v>337</v>
      </c>
      <c r="E196" s="112"/>
      <c r="F196" s="120" t="s">
        <v>312</v>
      </c>
      <c r="G196" s="113" t="s">
        <v>313</v>
      </c>
    </row>
    <row r="197" spans="1:7" x14ac:dyDescent="0.25">
      <c r="A197" s="114"/>
      <c r="B197" s="115"/>
      <c r="C197" s="115"/>
      <c r="D197" s="115"/>
      <c r="E197" s="115" t="s">
        <v>314</v>
      </c>
      <c r="F197" s="121" t="s">
        <v>315</v>
      </c>
      <c r="G197" s="116" t="s">
        <v>316</v>
      </c>
    </row>
    <row r="198" spans="1:7" x14ac:dyDescent="0.25">
      <c r="A198" s="111"/>
      <c r="B198" s="112"/>
      <c r="C198" s="112"/>
      <c r="D198" s="112"/>
      <c r="E198" s="112" t="s">
        <v>317</v>
      </c>
      <c r="F198" s="120">
        <v>4</v>
      </c>
      <c r="G198" s="113" t="s">
        <v>303</v>
      </c>
    </row>
    <row r="199" spans="1:7" x14ac:dyDescent="0.25">
      <c r="A199" s="114"/>
      <c r="B199" s="115"/>
      <c r="C199" s="115"/>
      <c r="D199" s="115"/>
      <c r="E199" s="115" t="s">
        <v>318</v>
      </c>
      <c r="F199" s="121">
        <v>0</v>
      </c>
      <c r="G199" s="116" t="s">
        <v>303</v>
      </c>
    </row>
    <row r="200" spans="1:7" x14ac:dyDescent="0.25">
      <c r="A200" s="111"/>
      <c r="B200" s="112"/>
      <c r="C200" s="112"/>
      <c r="D200" s="112"/>
      <c r="E200" s="112" t="s">
        <v>319</v>
      </c>
      <c r="F200" s="120">
        <v>3</v>
      </c>
      <c r="G200" s="113" t="s">
        <v>303</v>
      </c>
    </row>
    <row r="201" spans="1:7" x14ac:dyDescent="0.25">
      <c r="A201" s="114"/>
      <c r="B201" s="115"/>
      <c r="C201" s="115"/>
      <c r="D201" s="115"/>
      <c r="E201" s="115" t="s">
        <v>320</v>
      </c>
      <c r="F201" s="121">
        <v>108</v>
      </c>
      <c r="G201" s="116" t="s">
        <v>303</v>
      </c>
    </row>
    <row r="202" spans="1:7" x14ac:dyDescent="0.25">
      <c r="A202" s="111"/>
      <c r="B202" s="112"/>
      <c r="C202" s="112"/>
      <c r="D202" s="112"/>
      <c r="E202" s="112" t="s">
        <v>321</v>
      </c>
      <c r="F202" s="120" t="s">
        <v>322</v>
      </c>
      <c r="G202" s="113" t="s">
        <v>194</v>
      </c>
    </row>
    <row r="203" spans="1:7" x14ac:dyDescent="0.25">
      <c r="A203" s="114"/>
      <c r="B203" s="115"/>
      <c r="C203" s="115"/>
      <c r="D203" s="115"/>
      <c r="E203" s="115" t="s">
        <v>323</v>
      </c>
      <c r="F203" s="121">
        <v>6</v>
      </c>
      <c r="G203" s="116" t="s">
        <v>189</v>
      </c>
    </row>
    <row r="204" spans="1:7" x14ac:dyDescent="0.25">
      <c r="A204" s="111"/>
      <c r="B204" s="112"/>
      <c r="C204" s="112"/>
      <c r="D204" s="112"/>
      <c r="E204" s="112" t="s">
        <v>324</v>
      </c>
      <c r="F204" s="120">
        <v>6</v>
      </c>
      <c r="G204" s="113" t="s">
        <v>189</v>
      </c>
    </row>
    <row r="205" spans="1:7" x14ac:dyDescent="0.25">
      <c r="A205" s="114"/>
      <c r="B205" s="115"/>
      <c r="C205" s="115"/>
      <c r="D205" s="115"/>
      <c r="E205" s="115" t="s">
        <v>325</v>
      </c>
      <c r="F205" s="121">
        <v>4</v>
      </c>
      <c r="G205" s="116" t="s">
        <v>303</v>
      </c>
    </row>
    <row r="206" spans="1:7" x14ac:dyDescent="0.25">
      <c r="A206" s="111"/>
      <c r="B206" s="112"/>
      <c r="C206" s="112"/>
      <c r="D206" s="112"/>
      <c r="E206" s="112" t="s">
        <v>326</v>
      </c>
      <c r="F206" s="120" t="s">
        <v>322</v>
      </c>
      <c r="G206" s="113" t="s">
        <v>194</v>
      </c>
    </row>
    <row r="207" spans="1:7" x14ac:dyDescent="0.25">
      <c r="A207" s="114"/>
      <c r="B207" s="115"/>
      <c r="C207" s="115"/>
      <c r="D207" s="115"/>
      <c r="E207" s="115" t="s">
        <v>327</v>
      </c>
      <c r="F207" s="121">
        <v>0</v>
      </c>
      <c r="G207" s="116" t="s">
        <v>303</v>
      </c>
    </row>
    <row r="208" spans="1:7" x14ac:dyDescent="0.25">
      <c r="A208" s="111"/>
      <c r="B208" s="112"/>
      <c r="C208" s="112"/>
      <c r="D208" s="112"/>
      <c r="E208" s="112" t="s">
        <v>328</v>
      </c>
      <c r="F208" s="120">
        <v>3</v>
      </c>
      <c r="G208" s="113" t="s">
        <v>303</v>
      </c>
    </row>
    <row r="209" spans="1:7" x14ac:dyDescent="0.25">
      <c r="A209" s="114"/>
      <c r="B209" s="115"/>
      <c r="C209" s="115"/>
      <c r="D209" s="115"/>
      <c r="E209" s="115" t="s">
        <v>329</v>
      </c>
      <c r="F209" s="121">
        <v>108</v>
      </c>
      <c r="G209" s="116" t="s">
        <v>303</v>
      </c>
    </row>
    <row r="210" spans="1:7" x14ac:dyDescent="0.25">
      <c r="A210" s="111"/>
      <c r="B210" s="112"/>
      <c r="C210" s="112"/>
      <c r="D210" s="112"/>
      <c r="E210" s="112" t="s">
        <v>330</v>
      </c>
      <c r="F210" s="120" t="s">
        <v>315</v>
      </c>
      <c r="G210" s="113" t="s">
        <v>316</v>
      </c>
    </row>
    <row r="211" spans="1:7" x14ac:dyDescent="0.25">
      <c r="A211" s="114" t="s">
        <v>331</v>
      </c>
      <c r="B211" s="115"/>
      <c r="C211" s="115"/>
      <c r="D211" s="115"/>
      <c r="E211" s="115" t="s">
        <v>332</v>
      </c>
      <c r="F211" s="121"/>
      <c r="G211" s="116"/>
    </row>
    <row r="212" spans="1:7" x14ac:dyDescent="0.25">
      <c r="A212" s="111" t="s">
        <v>331</v>
      </c>
      <c r="B212" s="112"/>
      <c r="C212" s="112"/>
      <c r="D212" s="112"/>
      <c r="E212" s="112" t="s">
        <v>338</v>
      </c>
      <c r="F212" s="120"/>
      <c r="G212" s="113"/>
    </row>
    <row r="213" spans="1:7" ht="45" x14ac:dyDescent="0.25">
      <c r="A213" s="114"/>
      <c r="B213" s="115"/>
      <c r="C213" s="115"/>
      <c r="D213" s="115"/>
      <c r="E213" s="115" t="s">
        <v>349</v>
      </c>
      <c r="F213" s="121" t="s">
        <v>358</v>
      </c>
      <c r="G213" s="116" t="s">
        <v>194</v>
      </c>
    </row>
    <row r="214" spans="1:7" x14ac:dyDescent="0.25">
      <c r="A214" s="111"/>
      <c r="B214" s="112"/>
      <c r="C214" s="112"/>
      <c r="D214" s="112"/>
      <c r="E214" s="112" t="s">
        <v>360</v>
      </c>
      <c r="F214" s="120">
        <v>1</v>
      </c>
      <c r="G214" s="113" t="s">
        <v>303</v>
      </c>
    </row>
    <row r="215" spans="1:7" x14ac:dyDescent="0.25">
      <c r="A215" s="114" t="s">
        <v>331</v>
      </c>
      <c r="B215" s="115"/>
      <c r="C215" s="115"/>
      <c r="D215" s="115"/>
      <c r="E215" s="115" t="s">
        <v>361</v>
      </c>
      <c r="F215" s="121" t="s">
        <v>341</v>
      </c>
      <c r="G215" s="116" t="s">
        <v>342</v>
      </c>
    </row>
    <row r="216" spans="1:7" x14ac:dyDescent="0.25">
      <c r="A216" s="111"/>
      <c r="B216" s="112"/>
      <c r="C216" s="112"/>
      <c r="D216" s="112"/>
      <c r="E216" s="112" t="s">
        <v>362</v>
      </c>
      <c r="F216" s="120">
        <v>6</v>
      </c>
      <c r="G216" s="113" t="s">
        <v>303</v>
      </c>
    </row>
    <row r="217" spans="1:7" x14ac:dyDescent="0.25">
      <c r="A217" s="114" t="s">
        <v>331</v>
      </c>
      <c r="B217" s="115"/>
      <c r="C217" s="115"/>
      <c r="D217" s="115"/>
      <c r="E217" s="115" t="s">
        <v>332</v>
      </c>
      <c r="F217" s="121"/>
      <c r="G217" s="116"/>
    </row>
    <row r="218" spans="1:7" x14ac:dyDescent="0.25">
      <c r="A218" s="111"/>
      <c r="B218" s="112" t="s">
        <v>363</v>
      </c>
      <c r="C218" s="112"/>
      <c r="D218" s="112"/>
      <c r="E218" s="112"/>
      <c r="F218" s="120">
        <v>7</v>
      </c>
      <c r="G218" s="113" t="s">
        <v>303</v>
      </c>
    </row>
    <row r="219" spans="1:7" x14ac:dyDescent="0.25">
      <c r="A219" s="114"/>
      <c r="B219" s="115" t="s">
        <v>364</v>
      </c>
      <c r="C219" s="115"/>
      <c r="D219" s="115"/>
      <c r="E219" s="115"/>
      <c r="F219" s="121">
        <v>9</v>
      </c>
      <c r="G219" s="116" t="s">
        <v>303</v>
      </c>
    </row>
    <row r="220" spans="1:7" x14ac:dyDescent="0.25">
      <c r="A220" s="111" t="s">
        <v>331</v>
      </c>
      <c r="B220" s="112" t="s">
        <v>365</v>
      </c>
      <c r="C220" s="112"/>
      <c r="D220" s="112"/>
      <c r="E220" s="112"/>
      <c r="F220" s="120" t="s">
        <v>366</v>
      </c>
      <c r="G220" s="113" t="s">
        <v>367</v>
      </c>
    </row>
    <row r="221" spans="1:7" x14ac:dyDescent="0.25">
      <c r="A221" s="114"/>
      <c r="B221" s="115" t="s">
        <v>368</v>
      </c>
      <c r="C221" s="115"/>
      <c r="D221" s="115"/>
      <c r="E221" s="115"/>
      <c r="F221" s="121" t="s">
        <v>369</v>
      </c>
      <c r="G221" s="116" t="s">
        <v>194</v>
      </c>
    </row>
    <row r="222" spans="1:7" x14ac:dyDescent="0.25">
      <c r="A222" s="111"/>
      <c r="B222" s="112" t="s">
        <v>370</v>
      </c>
      <c r="C222" s="112"/>
      <c r="D222" s="112"/>
      <c r="E222" s="112"/>
      <c r="F222" s="120" t="s">
        <v>371</v>
      </c>
      <c r="G222" s="113" t="s">
        <v>194</v>
      </c>
    </row>
    <row r="223" spans="1:7" ht="30" x14ac:dyDescent="0.25">
      <c r="A223" s="117"/>
      <c r="B223" s="118" t="s">
        <v>372</v>
      </c>
      <c r="C223" s="118"/>
      <c r="D223" s="118"/>
      <c r="E223" s="118"/>
      <c r="F223" s="122" t="s">
        <v>373</v>
      </c>
      <c r="G223" s="119" t="s">
        <v>194</v>
      </c>
    </row>
  </sheetData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 x14ac:dyDescent="0.25"/>
  <cols>
    <col min="2" max="2" width="9" style="107"/>
    <col min="3" max="3" width="21.25" style="107" bestFit="1" customWidth="1"/>
    <col min="4" max="4" width="17.125" style="107" bestFit="1" customWidth="1"/>
    <col min="5" max="5" width="5.375" bestFit="1" customWidth="1"/>
    <col min="6" max="6" width="94.375" bestFit="1" customWidth="1"/>
  </cols>
  <sheetData>
    <row r="1" spans="1:7" ht="15.75" x14ac:dyDescent="0.25">
      <c r="A1" s="124" t="s">
        <v>379</v>
      </c>
      <c r="B1" s="124" t="s">
        <v>393</v>
      </c>
      <c r="C1" s="124" t="s">
        <v>394</v>
      </c>
      <c r="D1" s="124" t="s">
        <v>157</v>
      </c>
      <c r="E1" s="124" t="s">
        <v>392</v>
      </c>
      <c r="F1" s="124" t="s">
        <v>199</v>
      </c>
      <c r="G1" s="124" t="s">
        <v>12</v>
      </c>
    </row>
    <row r="2" spans="1:7" x14ac:dyDescent="0.25">
      <c r="A2" s="102" t="s">
        <v>380</v>
      </c>
      <c r="B2" s="102" t="str">
        <f>[1]!GetFolder(A2)</f>
        <v>C:\Documents and Settings\DAG\My Documents\Visual Studio 2010\Projects\Tools_for_Programmers\PolyCat\PolyCat</v>
      </c>
      <c r="C2" s="102" t="str">
        <f>[1]!GetLeafDirectoryName(B2)</f>
        <v>PolyCat</v>
      </c>
      <c r="D2" s="125" t="str">
        <f>[1]!GetFile(A2)</f>
        <v>ProgramParams.cs</v>
      </c>
      <c r="E2" s="125">
        <v>126</v>
      </c>
      <c r="F2" s="125" t="s">
        <v>381</v>
      </c>
      <c r="G2" s="125"/>
    </row>
    <row r="3" spans="1:7" x14ac:dyDescent="0.25">
      <c r="A3" s="102" t="s">
        <v>382</v>
      </c>
      <c r="B3" s="102" t="str">
        <f>[1]!GetFolder(A3)</f>
        <v>C:\Documents and Settings\DAG\My Documents\Visual Studio 2010\Projects\WizardWrx_Libs\SharedUtl4\SharedUtl4</v>
      </c>
      <c r="C3" s="102" t="str">
        <f>[1]!GetLeafDirectoryName(B3)</f>
        <v>SharedUtl4</v>
      </c>
      <c r="D3" s="125" t="str">
        <f>[1]!GetFile(A3)</f>
        <v>ReportDetail.cs</v>
      </c>
      <c r="E3" s="125">
        <v>32</v>
      </c>
      <c r="F3" s="125" t="s">
        <v>383</v>
      </c>
      <c r="G3" s="125"/>
    </row>
    <row r="4" spans="1:7" x14ac:dyDescent="0.25">
      <c r="A4" s="102" t="s">
        <v>382</v>
      </c>
      <c r="B4" s="102" t="str">
        <f>[1]!GetFolder(A4)</f>
        <v>C:\Documents and Settings\DAG\My Documents\Visual Studio 2010\Projects\WizardWrx_Libs\SharedUtl4\SharedUtl4</v>
      </c>
      <c r="C4" s="102" t="str">
        <f>[1]!GetLeafDirectoryName(B4)</f>
        <v>SharedUtl4</v>
      </c>
      <c r="D4" s="125" t="str">
        <f>[1]!GetFile(A4)</f>
        <v>ReportDetail.cs</v>
      </c>
      <c r="E4" s="125">
        <v>54</v>
      </c>
      <c r="F4" s="125" t="s">
        <v>384</v>
      </c>
      <c r="G4" s="125"/>
    </row>
    <row r="5" spans="1:7" x14ac:dyDescent="0.25">
      <c r="A5" s="102" t="s">
        <v>382</v>
      </c>
      <c r="B5" s="102" t="str">
        <f>[1]!GetFolder(A5)</f>
        <v>C:\Documents and Settings\DAG\My Documents\Visual Studio 2010\Projects\WizardWrx_Libs\SharedUtl4\SharedUtl4</v>
      </c>
      <c r="C5" s="102" t="str">
        <f>[1]!GetLeafDirectoryName(B5)</f>
        <v>SharedUtl4</v>
      </c>
      <c r="D5" s="125" t="str">
        <f>[1]!GetFile(A5)</f>
        <v>ReportDetail.cs</v>
      </c>
      <c r="E5" s="125">
        <v>975</v>
      </c>
      <c r="F5" s="125" t="s">
        <v>385</v>
      </c>
      <c r="G5" s="125"/>
    </row>
    <row r="6" spans="1:7" x14ac:dyDescent="0.25">
      <c r="A6" s="102" t="s">
        <v>382</v>
      </c>
      <c r="B6" s="102" t="str">
        <f>[1]!GetFolder(A6)</f>
        <v>C:\Documents and Settings\DAG\My Documents\Visual Studio 2010\Projects\WizardWrx_Libs\SharedUtl4\SharedUtl4</v>
      </c>
      <c r="C6" s="102" t="str">
        <f>[1]!GetLeafDirectoryName(B6)</f>
        <v>SharedUtl4</v>
      </c>
      <c r="D6" s="125" t="str">
        <f>[1]!GetFile(A6)</f>
        <v>ReportDetail.cs</v>
      </c>
      <c r="E6" s="125">
        <v>986</v>
      </c>
      <c r="F6" s="125" t="s">
        <v>386</v>
      </c>
      <c r="G6" s="125"/>
    </row>
    <row r="7" spans="1:7" x14ac:dyDescent="0.25">
      <c r="A7" s="102" t="s">
        <v>382</v>
      </c>
      <c r="B7" s="102" t="str">
        <f>[1]!GetFolder(A7)</f>
        <v>C:\Documents and Settings\DAG\My Documents\Visual Studio 2010\Projects\WizardWrx_Libs\SharedUtl4\SharedUtl4</v>
      </c>
      <c r="C7" s="102" t="str">
        <f>[1]!GetLeafDirectoryName(B7)</f>
        <v>SharedUtl4</v>
      </c>
      <c r="D7" s="125" t="str">
        <f>[1]!GetFile(A7)</f>
        <v>ReportDetail.cs</v>
      </c>
      <c r="E7" s="125">
        <v>1143</v>
      </c>
      <c r="F7" s="125" t="s">
        <v>387</v>
      </c>
      <c r="G7" s="125"/>
    </row>
    <row r="8" spans="1:7" x14ac:dyDescent="0.25">
      <c r="A8" s="102" t="s">
        <v>382</v>
      </c>
      <c r="B8" s="102" t="str">
        <f>[1]!GetFolder(A8)</f>
        <v>C:\Documents and Settings\DAG\My Documents\Visual Studio 2010\Projects\WizardWrx_Libs\SharedUtl4\SharedUtl4</v>
      </c>
      <c r="C8" s="102" t="str">
        <f>[1]!GetLeafDirectoryName(B8)</f>
        <v>SharedUtl4</v>
      </c>
      <c r="D8" s="125" t="str">
        <f>[1]!GetFile(A8)</f>
        <v>ReportDetail.cs</v>
      </c>
      <c r="E8" s="125">
        <v>1152</v>
      </c>
      <c r="F8" s="125" t="s">
        <v>388</v>
      </c>
      <c r="G8" s="125"/>
    </row>
    <row r="9" spans="1:7" x14ac:dyDescent="0.25">
      <c r="A9" s="102" t="s">
        <v>389</v>
      </c>
      <c r="B9" s="102" t="str">
        <f>[1]!GetFolder(A9)</f>
        <v>C:\Documents and Settings\DAG\My Documents\Visual Studio 2010\Projects\WizardWrx_Libs\SharedUtl4\SharedUtl4_TestStand</v>
      </c>
      <c r="C9" s="102" t="str">
        <f>[1]!GetLeafDirectoryName(B9)</f>
        <v>SharedUtl4_TestStand</v>
      </c>
      <c r="D9" s="125" t="str">
        <f>[1]!GetFile(A9)</f>
        <v>Program.cs</v>
      </c>
      <c r="E9" s="125">
        <v>504</v>
      </c>
      <c r="F9" s="125" t="s">
        <v>390</v>
      </c>
      <c r="G9" s="125"/>
    </row>
    <row r="10" spans="1:7" x14ac:dyDescent="0.25">
      <c r="A10" s="102" t="s">
        <v>389</v>
      </c>
      <c r="B10" s="102" t="str">
        <f>[1]!GetFolder(A10)</f>
        <v>C:\Documents and Settings\DAG\My Documents\Visual Studio 2010\Projects\WizardWrx_Libs\SharedUtl4\SharedUtl4_TestStand</v>
      </c>
      <c r="C10" s="102" t="str">
        <f>[1]!GetLeafDirectoryName(B10)</f>
        <v>SharedUtl4_TestStand</v>
      </c>
      <c r="D10" s="125" t="str">
        <f>[1]!GetFile(A10)</f>
        <v>Program.cs</v>
      </c>
      <c r="E10" s="125">
        <v>523</v>
      </c>
      <c r="F10" s="125" t="s">
        <v>391</v>
      </c>
      <c r="G10" s="125"/>
    </row>
  </sheetData>
  <conditionalFormatting sqref="B2:G10">
    <cfRule type="expression" dxfId="17" priority="1">
      <formula>OR($G2="Done",$G2="OK")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opLeftCell="E1" workbookViewId="0">
      <selection activeCell="G3" sqref="G3"/>
    </sheetView>
  </sheetViews>
  <sheetFormatPr defaultRowHeight="15" x14ac:dyDescent="0.25"/>
  <cols>
    <col min="2" max="2" width="9" style="107"/>
    <col min="3" max="3" width="21.25" style="107" bestFit="1" customWidth="1"/>
    <col min="4" max="4" width="17.125" style="107" bestFit="1" customWidth="1"/>
    <col min="5" max="5" width="5.375" bestFit="1" customWidth="1"/>
    <col min="6" max="6" width="92.375" bestFit="1" customWidth="1"/>
  </cols>
  <sheetData>
    <row r="1" spans="1:7" ht="15.75" x14ac:dyDescent="0.25">
      <c r="A1" s="124" t="s">
        <v>379</v>
      </c>
      <c r="B1" s="124" t="s">
        <v>393</v>
      </c>
      <c r="C1" s="124" t="s">
        <v>394</v>
      </c>
      <c r="D1" s="124" t="s">
        <v>157</v>
      </c>
      <c r="E1" s="124" t="s">
        <v>392</v>
      </c>
      <c r="F1" s="124" t="s">
        <v>199</v>
      </c>
      <c r="G1" s="124" t="s">
        <v>12</v>
      </c>
    </row>
    <row r="2" spans="1:7" x14ac:dyDescent="0.25">
      <c r="A2" s="102" t="s">
        <v>399</v>
      </c>
      <c r="B2" s="102" t="str">
        <f>[1]!GetFolder(A2)</f>
        <v>C:\Documents and Settings\DAG\My Documents\Visual Studio 2010\Projects\NOLANB\LogBasePruner\LogBasePruner</v>
      </c>
      <c r="C2" s="125" t="str">
        <f>[1]!GetLeafDirectoryName(B2)</f>
        <v>LogBasePruner</v>
      </c>
      <c r="D2" s="125" t="str">
        <f>[1]!GetFile(A2)</f>
        <v>Program.cs</v>
      </c>
      <c r="E2" s="125">
        <v>262</v>
      </c>
      <c r="F2" s="125" t="s">
        <v>400</v>
      </c>
      <c r="G2" s="126" t="s">
        <v>410</v>
      </c>
    </row>
    <row r="3" spans="1:7" x14ac:dyDescent="0.25">
      <c r="A3" s="102" t="s">
        <v>382</v>
      </c>
      <c r="B3" s="102" t="str">
        <f>[1]!GetFolder(A3)</f>
        <v>C:\Documents and Settings\DAG\My Documents\Visual Studio 2010\Projects\WizardWrx_Libs\SharedUtl4\SharedUtl4</v>
      </c>
      <c r="C3" s="125" t="str">
        <f>[1]!GetLeafDirectoryName(B3)</f>
        <v>SharedUtl4</v>
      </c>
      <c r="D3" s="125" t="str">
        <f>[1]!GetFile(A3)</f>
        <v>ReportDetail.cs</v>
      </c>
      <c r="E3" s="125">
        <v>979</v>
      </c>
      <c r="F3" s="125" t="s">
        <v>401</v>
      </c>
      <c r="G3" s="126" t="s">
        <v>410</v>
      </c>
    </row>
    <row r="4" spans="1:7" x14ac:dyDescent="0.25">
      <c r="A4" s="102" t="s">
        <v>402</v>
      </c>
      <c r="B4" s="102" t="str">
        <f>[1]!GetFolder(A4)</f>
        <v>C:\Documents and Settings\DAG\My Documents\Visual Studio 2010\Projects\WizardWrx_Libs\SharedUtl4\SharedUtl4</v>
      </c>
      <c r="C4" s="125" t="str">
        <f>[1]!GetLeafDirectoryName(B4)</f>
        <v>SharedUtl4</v>
      </c>
      <c r="D4" s="125" t="str">
        <f>[1]!GetFile(A4)</f>
        <v>ReportDetails.cs</v>
      </c>
      <c r="E4" s="125">
        <v>31</v>
      </c>
      <c r="F4" s="125" t="s">
        <v>403</v>
      </c>
      <c r="G4" s="126" t="s">
        <v>20</v>
      </c>
    </row>
    <row r="5" spans="1:7" x14ac:dyDescent="0.25">
      <c r="A5" s="102" t="s">
        <v>402</v>
      </c>
      <c r="B5" s="102" t="str">
        <f>[1]!GetFolder(A5)</f>
        <v>C:\Documents and Settings\DAG\My Documents\Visual Studio 2010\Projects\WizardWrx_Libs\SharedUtl4\SharedUtl4</v>
      </c>
      <c r="C5" s="125" t="str">
        <f>[1]!GetLeafDirectoryName(B5)</f>
        <v>SharedUtl4</v>
      </c>
      <c r="D5" s="125" t="str">
        <f>[1]!GetFile(A5)</f>
        <v>ReportDetails.cs</v>
      </c>
      <c r="E5" s="125">
        <v>175</v>
      </c>
      <c r="F5" s="125" t="s">
        <v>404</v>
      </c>
      <c r="G5" s="126" t="s">
        <v>410</v>
      </c>
    </row>
    <row r="6" spans="1:7" x14ac:dyDescent="0.25">
      <c r="A6" s="102" t="s">
        <v>402</v>
      </c>
      <c r="B6" s="102" t="str">
        <f>[1]!GetFolder(A6)</f>
        <v>C:\Documents and Settings\DAG\My Documents\Visual Studio 2010\Projects\WizardWrx_Libs\SharedUtl4\SharedUtl4</v>
      </c>
      <c r="C6" s="125" t="str">
        <f>[1]!GetLeafDirectoryName(B6)</f>
        <v>SharedUtl4</v>
      </c>
      <c r="D6" s="125" t="str">
        <f>[1]!GetFile(A6)</f>
        <v>ReportDetails.cs</v>
      </c>
      <c r="E6" s="125">
        <v>194</v>
      </c>
      <c r="F6" s="125" t="s">
        <v>405</v>
      </c>
      <c r="G6" s="126" t="s">
        <v>410</v>
      </c>
    </row>
    <row r="7" spans="1:7" x14ac:dyDescent="0.25">
      <c r="A7" s="102" t="s">
        <v>389</v>
      </c>
      <c r="B7" s="102" t="str">
        <f>[1]!GetFolder(A7)</f>
        <v>C:\Documents and Settings\DAG\My Documents\Visual Studio 2010\Projects\WizardWrx_Libs\SharedUtl4\SharedUtl4_TestStand</v>
      </c>
      <c r="C7" s="125" t="str">
        <f>[1]!GetLeafDirectoryName(B7)</f>
        <v>SharedUtl4_TestStand</v>
      </c>
      <c r="D7" s="125" t="str">
        <f>[1]!GetFile(A7)</f>
        <v>Program.cs</v>
      </c>
      <c r="E7" s="125">
        <v>487</v>
      </c>
      <c r="F7" s="125" t="s">
        <v>406</v>
      </c>
      <c r="G7" s="126" t="s">
        <v>410</v>
      </c>
    </row>
    <row r="8" spans="1:7" x14ac:dyDescent="0.25">
      <c r="A8" s="102" t="s">
        <v>389</v>
      </c>
      <c r="B8" s="102" t="str">
        <f>[1]!GetFolder(A8)</f>
        <v>C:\Documents and Settings\DAG\My Documents\Visual Studio 2010\Projects\WizardWrx_Libs\SharedUtl4\SharedUtl4_TestStand</v>
      </c>
      <c r="C8" s="125" t="str">
        <f>[1]!GetLeafDirectoryName(B8)</f>
        <v>SharedUtl4_TestStand</v>
      </c>
      <c r="D8" s="125" t="str">
        <f>[1]!GetFile(A8)</f>
        <v>Program.cs</v>
      </c>
      <c r="E8" s="125">
        <v>658</v>
      </c>
      <c r="F8" s="125" t="s">
        <v>407</v>
      </c>
      <c r="G8" s="126" t="s">
        <v>410</v>
      </c>
    </row>
  </sheetData>
  <conditionalFormatting sqref="A2:G2">
    <cfRule type="expression" dxfId="16" priority="2">
      <formula>OR($G2="Done",$G2="OK")</formula>
    </cfRule>
  </conditionalFormatting>
  <conditionalFormatting sqref="A3:G8">
    <cfRule type="expression" dxfId="15" priority="1">
      <formula>OR($G3="Done",$G3="OK")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opLeftCell="D1" workbookViewId="0">
      <selection activeCell="A2" sqref="A2:G2"/>
    </sheetView>
  </sheetViews>
  <sheetFormatPr defaultRowHeight="15" x14ac:dyDescent="0.25"/>
  <cols>
    <col min="2" max="2" width="9" style="107"/>
    <col min="3" max="3" width="21.25" style="107" bestFit="1" customWidth="1"/>
    <col min="4" max="4" width="17.125" style="107" bestFit="1" customWidth="1"/>
    <col min="5" max="5" width="5.375" bestFit="1" customWidth="1"/>
    <col min="6" max="6" width="76.875" bestFit="1" customWidth="1"/>
  </cols>
  <sheetData>
    <row r="1" spans="1:7" ht="15.75" x14ac:dyDescent="0.25">
      <c r="A1" s="124" t="s">
        <v>379</v>
      </c>
      <c r="B1" s="124" t="s">
        <v>393</v>
      </c>
      <c r="C1" s="124" t="s">
        <v>394</v>
      </c>
      <c r="D1" s="124" t="s">
        <v>157</v>
      </c>
      <c r="E1" s="124" t="s">
        <v>392</v>
      </c>
      <c r="F1" s="124" t="s">
        <v>199</v>
      </c>
      <c r="G1" s="124" t="s">
        <v>12</v>
      </c>
    </row>
    <row r="2" spans="1:7" x14ac:dyDescent="0.25">
      <c r="A2" s="102" t="s">
        <v>382</v>
      </c>
      <c r="B2" s="102" t="str">
        <f>[1]!GetFolder(A2)</f>
        <v>C:\Documents and Settings\DAG\My Documents\Visual Studio 2010\Projects\WizardWrx_Libs\SharedUtl4\SharedUtl4</v>
      </c>
      <c r="C2" s="125" t="str">
        <f>[1]!GetLeafDirectoryName(B2)</f>
        <v>SharedUtl4</v>
      </c>
      <c r="D2" s="125" t="str">
        <f>[1]!GetFile(A2)</f>
        <v>ReportDetail.cs</v>
      </c>
      <c r="E2" s="125">
        <v>1017</v>
      </c>
      <c r="F2" s="125" t="s">
        <v>411</v>
      </c>
      <c r="G2" s="126" t="s">
        <v>409</v>
      </c>
    </row>
    <row r="3" spans="1:7" x14ac:dyDescent="0.25">
      <c r="A3" s="102" t="s">
        <v>382</v>
      </c>
      <c r="B3" s="102" t="str">
        <f>[1]!GetFolder(A3)</f>
        <v>C:\Documents and Settings\DAG\My Documents\Visual Studio 2010\Projects\WizardWrx_Libs\SharedUtl4\SharedUtl4</v>
      </c>
      <c r="C3" s="125" t="str">
        <f>[1]!GetLeafDirectoryName(B3)</f>
        <v>SharedUtl4</v>
      </c>
      <c r="D3" s="125" t="str">
        <f>[1]!GetFile(A3)</f>
        <v>ReportDetail.cs</v>
      </c>
      <c r="E3" s="125">
        <v>1025</v>
      </c>
      <c r="F3" s="125" t="s">
        <v>411</v>
      </c>
      <c r="G3" s="126" t="s">
        <v>409</v>
      </c>
    </row>
    <row r="4" spans="1:7" x14ac:dyDescent="0.25">
      <c r="A4" s="102" t="s">
        <v>402</v>
      </c>
      <c r="B4" s="102" t="str">
        <f>[1]!GetFolder(A4)</f>
        <v>C:\Documents and Settings\DAG\My Documents\Visual Studio 2010\Projects\WizardWrx_Libs\SharedUtl4\SharedUtl4</v>
      </c>
      <c r="C4" s="125" t="str">
        <f>[1]!GetLeafDirectoryName(B4)</f>
        <v>SharedUtl4</v>
      </c>
      <c r="D4" s="125" t="str">
        <f>[1]!GetFile(A4)</f>
        <v>ReportDetails.cs</v>
      </c>
      <c r="E4" s="125">
        <v>33</v>
      </c>
      <c r="F4" s="125" t="s">
        <v>412</v>
      </c>
      <c r="G4" s="126" t="s">
        <v>20</v>
      </c>
    </row>
    <row r="5" spans="1:7" x14ac:dyDescent="0.25">
      <c r="A5" s="102" t="s">
        <v>402</v>
      </c>
      <c r="B5" s="102" t="str">
        <f>[1]!GetFolder(A5)</f>
        <v>C:\Documents and Settings\DAG\My Documents\Visual Studio 2010\Projects\WizardWrx_Libs\SharedUtl4\SharedUtl4</v>
      </c>
      <c r="C5" s="125" t="str">
        <f>[1]!GetLeafDirectoryName(B5)</f>
        <v>SharedUtl4</v>
      </c>
      <c r="D5" s="125" t="str">
        <f>[1]!GetFile(A5)</f>
        <v>ReportDetails.cs</v>
      </c>
      <c r="E5" s="125">
        <v>207</v>
      </c>
      <c r="F5" s="125" t="s">
        <v>413</v>
      </c>
      <c r="G5" s="126" t="s">
        <v>409</v>
      </c>
    </row>
    <row r="6" spans="1:7" x14ac:dyDescent="0.25">
      <c r="A6" s="102" t="s">
        <v>402</v>
      </c>
      <c r="B6" s="102" t="str">
        <f>[1]!GetFolder(A6)</f>
        <v>C:\Documents and Settings\DAG\My Documents\Visual Studio 2010\Projects\WizardWrx_Libs\SharedUtl4\SharedUtl4</v>
      </c>
      <c r="C6" s="125" t="str">
        <f>[1]!GetLeafDirectoryName(B6)</f>
        <v>SharedUtl4</v>
      </c>
      <c r="D6" s="125" t="str">
        <f>[1]!GetFile(A6)</f>
        <v>ReportDetails.cs</v>
      </c>
      <c r="E6" s="125">
        <v>255</v>
      </c>
      <c r="F6" s="125" t="s">
        <v>414</v>
      </c>
      <c r="G6" s="126" t="s">
        <v>409</v>
      </c>
    </row>
    <row r="7" spans="1:7" x14ac:dyDescent="0.25">
      <c r="A7" s="102" t="s">
        <v>389</v>
      </c>
      <c r="B7" s="102" t="str">
        <f>[1]!GetFolder(A7)</f>
        <v>C:\Documents and Settings\DAG\My Documents\Visual Studio 2010\Projects\WizardWrx_Libs\SharedUtl4\SharedUtl4_TestStand</v>
      </c>
      <c r="C7" s="125" t="str">
        <f>[1]!GetLeafDirectoryName(B7)</f>
        <v>SharedUtl4_TestStand</v>
      </c>
      <c r="D7" s="125" t="str">
        <f>[1]!GetFile(A7)</f>
        <v>Program.cs</v>
      </c>
      <c r="E7" s="125">
        <v>490</v>
      </c>
      <c r="F7" s="125" t="s">
        <v>415</v>
      </c>
      <c r="G7" s="126" t="s">
        <v>409</v>
      </c>
    </row>
  </sheetData>
  <conditionalFormatting sqref="A2:G2">
    <cfRule type="expression" dxfId="14" priority="6">
      <formula>OR($G2="Done",$G2="OK")</formula>
    </cfRule>
  </conditionalFormatting>
  <conditionalFormatting sqref="A3:G3">
    <cfRule type="expression" dxfId="13" priority="5">
      <formula>OR($G3="Done",$G3="OK")</formula>
    </cfRule>
  </conditionalFormatting>
  <conditionalFormatting sqref="A4:G4">
    <cfRule type="expression" dxfId="12" priority="4">
      <formula>OR($G4="Done",$G4="OK")</formula>
    </cfRule>
  </conditionalFormatting>
  <conditionalFormatting sqref="A5:G5">
    <cfRule type="expression" dxfId="11" priority="3">
      <formula>OR($G5="Done",$G5="OK")</formula>
    </cfRule>
  </conditionalFormatting>
  <conditionalFormatting sqref="A6:G6">
    <cfRule type="expression" dxfId="10" priority="2">
      <formula>OR($G6="Done",$G6="OK")</formula>
    </cfRule>
  </conditionalFormatting>
  <conditionalFormatting sqref="A7:G7">
    <cfRule type="expression" dxfId="9" priority="1">
      <formula>OR($G7="Done",$G7="OK")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opLeftCell="E1" workbookViewId="0">
      <selection activeCell="A2" sqref="A2:G2"/>
    </sheetView>
  </sheetViews>
  <sheetFormatPr defaultRowHeight="15" x14ac:dyDescent="0.25"/>
  <cols>
    <col min="2" max="2" width="9" style="107"/>
    <col min="3" max="3" width="21.25" style="107" bestFit="1" customWidth="1"/>
    <col min="4" max="4" width="17.125" style="107" bestFit="1" customWidth="1"/>
    <col min="5" max="5" width="5.375" bestFit="1" customWidth="1"/>
    <col min="6" max="6" width="94.375" bestFit="1" customWidth="1"/>
  </cols>
  <sheetData>
    <row r="1" spans="1:7" ht="15.75" x14ac:dyDescent="0.25">
      <c r="A1" s="124" t="s">
        <v>379</v>
      </c>
      <c r="B1" s="124" t="s">
        <v>393</v>
      </c>
      <c r="C1" s="124" t="s">
        <v>394</v>
      </c>
      <c r="D1" s="124" t="s">
        <v>157</v>
      </c>
      <c r="E1" s="124" t="s">
        <v>392</v>
      </c>
      <c r="F1" s="124" t="s">
        <v>199</v>
      </c>
      <c r="G1" s="124" t="s">
        <v>12</v>
      </c>
    </row>
    <row r="2" spans="1:7" x14ac:dyDescent="0.25">
      <c r="A2" s="102" t="s">
        <v>380</v>
      </c>
      <c r="B2" s="102" t="str">
        <f>[1]!GetFolder(A2)</f>
        <v>C:\Documents and Settings\DAG\My Documents\Visual Studio 2010\Projects\Tools_for_Programmers\PolyCat\PolyCat</v>
      </c>
      <c r="C2" s="125" t="str">
        <f>[1]!GetLeafDirectoryName(B2)</f>
        <v>PolyCat</v>
      </c>
      <c r="D2" s="125" t="str">
        <f>[1]!GetFile(A2)</f>
        <v>ProgramParams.cs</v>
      </c>
      <c r="E2" s="125">
        <v>127</v>
      </c>
      <c r="F2" s="125" t="s">
        <v>418</v>
      </c>
      <c r="G2" s="126"/>
    </row>
    <row r="3" spans="1:7" x14ac:dyDescent="0.25">
      <c r="A3" s="102" t="s">
        <v>382</v>
      </c>
      <c r="B3" s="102" t="str">
        <f>[1]!GetFolder(A3)</f>
        <v>C:\Documents and Settings\DAG\My Documents\Visual Studio 2010\Projects\WizardWrx_Libs\SharedUtl4\SharedUtl4</v>
      </c>
      <c r="C3" s="125" t="str">
        <f>[1]!GetLeafDirectoryName(B3)</f>
        <v>SharedUtl4</v>
      </c>
      <c r="D3" s="125" t="str">
        <f>[1]!GetFile(A3)</f>
        <v>ReportDetail.cs</v>
      </c>
      <c r="E3" s="125">
        <v>1007</v>
      </c>
      <c r="F3" s="125" t="s">
        <v>419</v>
      </c>
      <c r="G3" s="126" t="s">
        <v>409</v>
      </c>
    </row>
    <row r="4" spans="1:7" x14ac:dyDescent="0.25">
      <c r="A4" s="102" t="s">
        <v>382</v>
      </c>
      <c r="B4" s="102" t="str">
        <f>[1]!GetFolder(A4)</f>
        <v>C:\Documents and Settings\DAG\My Documents\Visual Studio 2010\Projects\WizardWrx_Libs\SharedUtl4\SharedUtl4</v>
      </c>
      <c r="C4" s="125" t="str">
        <f>[1]!GetLeafDirectoryName(B4)</f>
        <v>SharedUtl4</v>
      </c>
      <c r="D4" s="125" t="str">
        <f>[1]!GetFile(A4)</f>
        <v>ReportDetail.cs</v>
      </c>
      <c r="E4" s="125">
        <v>1030</v>
      </c>
      <c r="F4" s="125" t="s">
        <v>420</v>
      </c>
      <c r="G4" s="126" t="s">
        <v>409</v>
      </c>
    </row>
    <row r="5" spans="1:7" x14ac:dyDescent="0.25">
      <c r="A5" s="102" t="s">
        <v>389</v>
      </c>
      <c r="B5" s="102" t="str">
        <f>[1]!GetFolder(A5)</f>
        <v>C:\Documents and Settings\DAG\My Documents\Visual Studio 2010\Projects\WizardWrx_Libs\SharedUtl4\SharedUtl4_TestStand</v>
      </c>
      <c r="C5" s="125" t="str">
        <f>[1]!GetLeafDirectoryName(B5)</f>
        <v>SharedUtl4_TestStand</v>
      </c>
      <c r="D5" s="125" t="str">
        <f>[1]!GetFile(A5)</f>
        <v>Program.cs</v>
      </c>
      <c r="E5" s="125">
        <v>505</v>
      </c>
      <c r="F5" s="125" t="s">
        <v>421</v>
      </c>
      <c r="G5" s="126" t="s">
        <v>409</v>
      </c>
    </row>
    <row r="6" spans="1:7" x14ac:dyDescent="0.25">
      <c r="A6" s="102" t="s">
        <v>389</v>
      </c>
      <c r="B6" s="102" t="str">
        <f>[1]!GetFolder(A6)</f>
        <v>C:\Documents and Settings\DAG\My Documents\Visual Studio 2010\Projects\WizardWrx_Libs\SharedUtl4\SharedUtl4_TestStand</v>
      </c>
      <c r="C6" s="125" t="str">
        <f>[1]!GetLeafDirectoryName(B6)</f>
        <v>SharedUtl4_TestStand</v>
      </c>
      <c r="D6" s="125" t="str">
        <f>[1]!GetFile(A6)</f>
        <v>Program.cs</v>
      </c>
      <c r="E6" s="125">
        <v>524</v>
      </c>
      <c r="F6" s="125" t="s">
        <v>422</v>
      </c>
      <c r="G6" s="126" t="s">
        <v>409</v>
      </c>
    </row>
  </sheetData>
  <conditionalFormatting sqref="A2:G6">
    <cfRule type="expression" dxfId="8" priority="1">
      <formula>OR($G2="Done",$G2="OK")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opLeftCell="E1" workbookViewId="0">
      <selection activeCell="A2" sqref="A2:G2"/>
    </sheetView>
  </sheetViews>
  <sheetFormatPr defaultRowHeight="15" x14ac:dyDescent="0.25"/>
  <cols>
    <col min="2" max="2" width="9" style="107"/>
    <col min="3" max="3" width="24.25" style="107" bestFit="1" customWidth="1"/>
    <col min="4" max="4" width="30.5" style="107" bestFit="1" customWidth="1"/>
    <col min="5" max="5" width="5.375" bestFit="1" customWidth="1"/>
    <col min="6" max="6" width="93.375" bestFit="1" customWidth="1"/>
  </cols>
  <sheetData>
    <row r="1" spans="1:7" ht="15.75" x14ac:dyDescent="0.25">
      <c r="A1" s="124" t="s">
        <v>379</v>
      </c>
      <c r="B1" s="124" t="s">
        <v>393</v>
      </c>
      <c r="C1" s="124" t="s">
        <v>394</v>
      </c>
      <c r="D1" s="124" t="s">
        <v>157</v>
      </c>
      <c r="E1" s="124" t="s">
        <v>392</v>
      </c>
      <c r="F1" s="124" t="s">
        <v>199</v>
      </c>
      <c r="G1" s="124" t="s">
        <v>12</v>
      </c>
    </row>
    <row r="2" spans="1:7" x14ac:dyDescent="0.25">
      <c r="A2" s="102" t="s">
        <v>423</v>
      </c>
      <c r="B2" s="102" t="str">
        <f>[1]!GetFolder(A2)</f>
        <v>C:\Documents and Settings\DAG\My Documents\Visual Studio 2010\Projects\NOLANB\DataEaseDirectoryReader\DataEaseDirectoryReader</v>
      </c>
      <c r="C2" s="125" t="str">
        <f>[1]!GetLeafDirectoryName(B2)</f>
        <v>DataEaseDirectoryReader</v>
      </c>
      <c r="D2" s="125" t="str">
        <f>[1]!GetFile(A2)</f>
        <v>Program.cs</v>
      </c>
      <c r="E2" s="125">
        <v>227</v>
      </c>
      <c r="F2" s="125" t="s">
        <v>424</v>
      </c>
      <c r="G2" s="126"/>
    </row>
    <row r="3" spans="1:7" x14ac:dyDescent="0.25">
      <c r="A3" s="102" t="s">
        <v>382</v>
      </c>
      <c r="B3" s="102" t="str">
        <f>[1]!GetFolder(A3)</f>
        <v>C:\Documents and Settings\DAG\My Documents\Visual Studio 2010\Projects\WizardWrx_Libs\SharedUtl4\SharedUtl4</v>
      </c>
      <c r="C3" s="125" t="str">
        <f>[1]!GetLeafDirectoryName(B3)</f>
        <v>SharedUtl4</v>
      </c>
      <c r="D3" s="125" t="str">
        <f>[1]!GetFile(A3)</f>
        <v>ReportDetail.cs</v>
      </c>
      <c r="E3" s="125">
        <v>34</v>
      </c>
      <c r="F3" s="125" t="s">
        <v>425</v>
      </c>
      <c r="G3" s="126" t="s">
        <v>20</v>
      </c>
    </row>
    <row r="4" spans="1:7" x14ac:dyDescent="0.25">
      <c r="A4" s="102" t="s">
        <v>382</v>
      </c>
      <c r="B4" s="102" t="str">
        <f>[1]!GetFolder(A4)</f>
        <v>C:\Documents and Settings\DAG\My Documents\Visual Studio 2010\Projects\WizardWrx_Libs\SharedUtl4\SharedUtl4</v>
      </c>
      <c r="C4" s="125" t="str">
        <f>[1]!GetLeafDirectoryName(B4)</f>
        <v>SharedUtl4</v>
      </c>
      <c r="D4" s="125" t="str">
        <f>[1]!GetFile(A4)</f>
        <v>ReportDetail.cs</v>
      </c>
      <c r="E4" s="125">
        <v>49</v>
      </c>
      <c r="F4" s="125" t="s">
        <v>426</v>
      </c>
      <c r="G4" s="126" t="s">
        <v>20</v>
      </c>
    </row>
    <row r="5" spans="1:7" x14ac:dyDescent="0.25">
      <c r="A5" s="102" t="s">
        <v>382</v>
      </c>
      <c r="B5" s="102" t="str">
        <f>[1]!GetFolder(A5)</f>
        <v>C:\Documents and Settings\DAG\My Documents\Visual Studio 2010\Projects\WizardWrx_Libs\SharedUtl4\SharedUtl4</v>
      </c>
      <c r="C5" s="125" t="str">
        <f>[1]!GetLeafDirectoryName(B5)</f>
        <v>SharedUtl4</v>
      </c>
      <c r="D5" s="125" t="str">
        <f>[1]!GetFile(A5)</f>
        <v>ReportDetail.cs</v>
      </c>
      <c r="E5" s="125">
        <v>52</v>
      </c>
      <c r="F5" s="125" t="s">
        <v>427</v>
      </c>
      <c r="G5" s="126" t="s">
        <v>20</v>
      </c>
    </row>
    <row r="6" spans="1:7" x14ac:dyDescent="0.25">
      <c r="A6" s="102" t="s">
        <v>382</v>
      </c>
      <c r="B6" s="102" t="str">
        <f>[1]!GetFolder(A6)</f>
        <v>C:\Documents and Settings\DAG\My Documents\Visual Studio 2010\Projects\WizardWrx_Libs\SharedUtl4\SharedUtl4</v>
      </c>
      <c r="C6" s="125" t="str">
        <f>[1]!GetLeafDirectoryName(B6)</f>
        <v>SharedUtl4</v>
      </c>
      <c r="D6" s="125" t="str">
        <f>[1]!GetFile(A6)</f>
        <v>ReportDetail.cs</v>
      </c>
      <c r="E6" s="125">
        <v>135</v>
      </c>
      <c r="F6" s="125" t="s">
        <v>428</v>
      </c>
      <c r="G6" s="126" t="s">
        <v>20</v>
      </c>
    </row>
    <row r="7" spans="1:7" x14ac:dyDescent="0.25">
      <c r="A7" s="102" t="s">
        <v>382</v>
      </c>
      <c r="B7" s="102" t="str">
        <f>[1]!GetFolder(A7)</f>
        <v>C:\Documents and Settings\DAG\My Documents\Visual Studio 2010\Projects\WizardWrx_Libs\SharedUtl4\SharedUtl4</v>
      </c>
      <c r="C7" s="125" t="str">
        <f>[1]!GetLeafDirectoryName(B7)</f>
        <v>SharedUtl4</v>
      </c>
      <c r="D7" s="125" t="str">
        <f>[1]!GetFile(A7)</f>
        <v>ReportDetail.cs</v>
      </c>
      <c r="E7" s="125">
        <v>142</v>
      </c>
      <c r="F7" s="125" t="s">
        <v>428</v>
      </c>
      <c r="G7" s="126" t="s">
        <v>20</v>
      </c>
    </row>
    <row r="8" spans="1:7" x14ac:dyDescent="0.25">
      <c r="A8" s="102" t="s">
        <v>382</v>
      </c>
      <c r="B8" s="102" t="str">
        <f>[1]!GetFolder(A8)</f>
        <v>C:\Documents and Settings\DAG\My Documents\Visual Studio 2010\Projects\WizardWrx_Libs\SharedUtl4\SharedUtl4</v>
      </c>
      <c r="C8" s="125" t="str">
        <f>[1]!GetLeafDirectoryName(B8)</f>
        <v>SharedUtl4</v>
      </c>
      <c r="D8" s="125" t="str">
        <f>[1]!GetFile(A8)</f>
        <v>ReportDetail.cs</v>
      </c>
      <c r="E8" s="125">
        <v>156</v>
      </c>
      <c r="F8" s="125" t="s">
        <v>429</v>
      </c>
      <c r="G8" s="126" t="s">
        <v>20</v>
      </c>
    </row>
    <row r="9" spans="1:7" x14ac:dyDescent="0.25">
      <c r="A9" s="102" t="s">
        <v>382</v>
      </c>
      <c r="B9" s="102" t="str">
        <f>[1]!GetFolder(A9)</f>
        <v>C:\Documents and Settings\DAG\My Documents\Visual Studio 2010\Projects\WizardWrx_Libs\SharedUtl4\SharedUtl4</v>
      </c>
      <c r="C9" s="125" t="str">
        <f>[1]!GetLeafDirectoryName(B9)</f>
        <v>SharedUtl4</v>
      </c>
      <c r="D9" s="125" t="str">
        <f>[1]!GetFile(A9)</f>
        <v>ReportDetail.cs</v>
      </c>
      <c r="E9" s="125">
        <v>745</v>
      </c>
      <c r="F9" s="125" t="s">
        <v>430</v>
      </c>
      <c r="G9" s="126" t="s">
        <v>20</v>
      </c>
    </row>
    <row r="10" spans="1:7" x14ac:dyDescent="0.25">
      <c r="A10" s="102" t="s">
        <v>382</v>
      </c>
      <c r="B10" s="102" t="str">
        <f>[1]!GetFolder(A10)</f>
        <v>C:\Documents and Settings\DAG\My Documents\Visual Studio 2010\Projects\WizardWrx_Libs\SharedUtl4\SharedUtl4</v>
      </c>
      <c r="C10" s="125" t="str">
        <f>[1]!GetLeafDirectoryName(B10)</f>
        <v>SharedUtl4</v>
      </c>
      <c r="D10" s="125" t="str">
        <f>[1]!GetFile(A10)</f>
        <v>ReportDetail.cs</v>
      </c>
      <c r="E10" s="125">
        <v>789</v>
      </c>
      <c r="F10" s="125" t="s">
        <v>430</v>
      </c>
      <c r="G10" s="126" t="s">
        <v>20</v>
      </c>
    </row>
    <row r="11" spans="1:7" x14ac:dyDescent="0.25">
      <c r="A11" s="102" t="s">
        <v>382</v>
      </c>
      <c r="B11" s="102" t="str">
        <f>[1]!GetFolder(A11)</f>
        <v>C:\Documents and Settings\DAG\My Documents\Visual Studio 2010\Projects\WizardWrx_Libs\SharedUtl4\SharedUtl4</v>
      </c>
      <c r="C11" s="125" t="str">
        <f>[1]!GetLeafDirectoryName(B11)</f>
        <v>SharedUtl4</v>
      </c>
      <c r="D11" s="125" t="str">
        <f>[1]!GetFile(A11)</f>
        <v>ReportDetail.cs</v>
      </c>
      <c r="E11" s="125">
        <v>933</v>
      </c>
      <c r="F11" s="125" t="s">
        <v>431</v>
      </c>
      <c r="G11" s="126" t="s">
        <v>20</v>
      </c>
    </row>
    <row r="12" spans="1:7" x14ac:dyDescent="0.25">
      <c r="A12" s="102" t="s">
        <v>382</v>
      </c>
      <c r="B12" s="102" t="str">
        <f>[1]!GetFolder(A12)</f>
        <v>C:\Documents and Settings\DAG\My Documents\Visual Studio 2010\Projects\WizardWrx_Libs\SharedUtl4\SharedUtl4</v>
      </c>
      <c r="C12" s="125" t="str">
        <f>[1]!GetLeafDirectoryName(B12)</f>
        <v>SharedUtl4</v>
      </c>
      <c r="D12" s="125" t="str">
        <f>[1]!GetFile(A12)</f>
        <v>ReportDetail.cs</v>
      </c>
      <c r="E12" s="125">
        <v>939</v>
      </c>
      <c r="F12" s="125" t="s">
        <v>432</v>
      </c>
      <c r="G12" s="126"/>
    </row>
    <row r="13" spans="1:7" x14ac:dyDescent="0.25">
      <c r="A13" s="102" t="s">
        <v>382</v>
      </c>
      <c r="B13" s="102" t="str">
        <f>[1]!GetFolder(A13)</f>
        <v>C:\Documents and Settings\DAG\My Documents\Visual Studio 2010\Projects\WizardWrx_Libs\SharedUtl4\SharedUtl4</v>
      </c>
      <c r="C13" s="125" t="str">
        <f>[1]!GetLeafDirectoryName(B13)</f>
        <v>SharedUtl4</v>
      </c>
      <c r="D13" s="125" t="str">
        <f>[1]!GetFile(A13)</f>
        <v>ReportDetail.cs</v>
      </c>
      <c r="E13" s="125">
        <v>956</v>
      </c>
      <c r="F13" s="125" t="s">
        <v>433</v>
      </c>
      <c r="G13" s="126"/>
    </row>
    <row r="14" spans="1:7" x14ac:dyDescent="0.25">
      <c r="A14" s="102" t="s">
        <v>382</v>
      </c>
      <c r="B14" s="102" t="str">
        <f>[1]!GetFolder(A14)</f>
        <v>C:\Documents and Settings\DAG\My Documents\Visual Studio 2010\Projects\WizardWrx_Libs\SharedUtl4\SharedUtl4</v>
      </c>
      <c r="C14" s="125" t="str">
        <f>[1]!GetLeafDirectoryName(B14)</f>
        <v>SharedUtl4</v>
      </c>
      <c r="D14" s="125" t="str">
        <f>[1]!GetFile(A14)</f>
        <v>ReportDetail.cs</v>
      </c>
      <c r="E14" s="125">
        <v>962</v>
      </c>
      <c r="F14" s="125" t="s">
        <v>434</v>
      </c>
      <c r="G14" s="126"/>
    </row>
    <row r="15" spans="1:7" x14ac:dyDescent="0.25">
      <c r="A15" s="102" t="s">
        <v>382</v>
      </c>
      <c r="B15" s="102" t="str">
        <f>[1]!GetFolder(A15)</f>
        <v>C:\Documents and Settings\DAG\My Documents\Visual Studio 2010\Projects\WizardWrx_Libs\SharedUtl4\SharedUtl4</v>
      </c>
      <c r="C15" s="125" t="str">
        <f>[1]!GetLeafDirectoryName(B15)</f>
        <v>SharedUtl4</v>
      </c>
      <c r="D15" s="125" t="str">
        <f>[1]!GetFile(A15)</f>
        <v>ReportDetail.cs</v>
      </c>
      <c r="E15" s="125">
        <v>973</v>
      </c>
      <c r="F15" s="125" t="s">
        <v>435</v>
      </c>
      <c r="G15" s="126"/>
    </row>
    <row r="16" spans="1:7" x14ac:dyDescent="0.25">
      <c r="A16" s="102" t="s">
        <v>382</v>
      </c>
      <c r="B16" s="102" t="str">
        <f>[1]!GetFolder(A16)</f>
        <v>C:\Documents and Settings\DAG\My Documents\Visual Studio 2010\Projects\WizardWrx_Libs\SharedUtl4\SharedUtl4</v>
      </c>
      <c r="C16" s="125" t="str">
        <f>[1]!GetLeafDirectoryName(B16)</f>
        <v>SharedUtl4</v>
      </c>
      <c r="D16" s="125" t="str">
        <f>[1]!GetFile(A16)</f>
        <v>ReportDetail.cs</v>
      </c>
      <c r="E16" s="125">
        <v>1098</v>
      </c>
      <c r="F16" s="125" t="s">
        <v>436</v>
      </c>
      <c r="G16" s="126"/>
    </row>
    <row r="17" spans="1:7" x14ac:dyDescent="0.25">
      <c r="A17" s="102" t="s">
        <v>382</v>
      </c>
      <c r="B17" s="102" t="str">
        <f>[1]!GetFolder(A17)</f>
        <v>C:\Documents and Settings\DAG\My Documents\Visual Studio 2010\Projects\WizardWrx_Libs\SharedUtl4\SharedUtl4</v>
      </c>
      <c r="C17" s="125" t="str">
        <f>[1]!GetLeafDirectoryName(B17)</f>
        <v>SharedUtl4</v>
      </c>
      <c r="D17" s="125" t="str">
        <f>[1]!GetFile(A17)</f>
        <v>ReportDetail.cs</v>
      </c>
      <c r="E17" s="125">
        <v>1106</v>
      </c>
      <c r="F17" s="125" t="s">
        <v>437</v>
      </c>
      <c r="G17" s="126"/>
    </row>
    <row r="18" spans="1:7" x14ac:dyDescent="0.25">
      <c r="A18" s="102" t="s">
        <v>438</v>
      </c>
      <c r="B18" s="102" t="str">
        <f>[1]!GetFolder(A18)</f>
        <v>C:\Documents and Settings\DAG\My Documents\Visual Studio 2010\Projects\WizardWrx_Libs\SharedUtl4\SharedUtl4_TestStand</v>
      </c>
      <c r="C18" s="125" t="str">
        <f>[1]!GetLeafDirectoryName(B18)</f>
        <v>SharedUtl4_TestStand</v>
      </c>
      <c r="D18" s="125" t="str">
        <f>[1]!GetFile(A18)</f>
        <v>FormatStringParsing_Drills.cs</v>
      </c>
      <c r="E18" s="125">
        <v>147</v>
      </c>
      <c r="F18" s="125" t="s">
        <v>439</v>
      </c>
      <c r="G18" s="126"/>
    </row>
    <row r="19" spans="1:7" x14ac:dyDescent="0.25">
      <c r="A19" s="102" t="s">
        <v>438</v>
      </c>
      <c r="B19" s="102" t="str">
        <f>[1]!GetFolder(A19)</f>
        <v>C:\Documents and Settings\DAG\My Documents\Visual Studio 2010\Projects\WizardWrx_Libs\SharedUtl4\SharedUtl4_TestStand</v>
      </c>
      <c r="C19" s="125" t="str">
        <f>[1]!GetLeafDirectoryName(B19)</f>
        <v>SharedUtl4_TestStand</v>
      </c>
      <c r="D19" s="125" t="str">
        <f>[1]!GetFile(A19)</f>
        <v>FormatStringParsing_Drills.cs</v>
      </c>
      <c r="E19" s="125">
        <v>148</v>
      </c>
      <c r="F19" s="125" t="s">
        <v>440</v>
      </c>
      <c r="G19" s="126"/>
    </row>
    <row r="20" spans="1:7" x14ac:dyDescent="0.25">
      <c r="A20" s="102" t="s">
        <v>441</v>
      </c>
      <c r="B20" s="102" t="str">
        <f>[1]!GetFolder(A20)</f>
        <v>C:\Documents and Settings\DAG\My Documents\Visual Studio 2010\Projects\WizardWrx_Libs\SharedUtl4\SharedUtl4_TestStand</v>
      </c>
      <c r="C20" s="125" t="str">
        <f>[1]!GetLeafDirectoryName(B20)</f>
        <v>SharedUtl4_TestStand</v>
      </c>
      <c r="D20" s="125" t="str">
        <f>[1]!GetFile(A20)</f>
        <v>MaxStringLength_Tester.cs</v>
      </c>
      <c r="E20" s="125">
        <v>110</v>
      </c>
      <c r="F20" s="125" t="s">
        <v>442</v>
      </c>
      <c r="G20" s="126"/>
    </row>
  </sheetData>
  <conditionalFormatting sqref="A2:G20">
    <cfRule type="expression" dxfId="7" priority="1">
      <formula>OR($G2="Done",$G2="OK")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H24" sqref="H24"/>
    </sheetView>
  </sheetViews>
  <sheetFormatPr defaultRowHeight="15" outlineLevelRow="2" x14ac:dyDescent="0.25"/>
  <cols>
    <col min="3" max="3" width="24.25" bestFit="1" customWidth="1"/>
    <col min="4" max="4" width="11.25" bestFit="1" customWidth="1"/>
    <col min="5" max="5" width="20.125" style="123" bestFit="1" customWidth="1"/>
    <col min="6" max="6" width="5.375" bestFit="1" customWidth="1"/>
    <col min="7" max="7" width="125.375" bestFit="1" customWidth="1"/>
    <col min="8" max="8" width="7.625" bestFit="1" customWidth="1"/>
  </cols>
  <sheetData>
    <row r="1" spans="1:8" ht="15.75" x14ac:dyDescent="0.25">
      <c r="A1" s="124" t="s">
        <v>379</v>
      </c>
      <c r="B1" s="124" t="s">
        <v>393</v>
      </c>
      <c r="C1" s="124" t="s">
        <v>394</v>
      </c>
      <c r="D1" s="124" t="s">
        <v>157</v>
      </c>
      <c r="E1" s="124" t="s">
        <v>470</v>
      </c>
      <c r="F1" s="124" t="s">
        <v>392</v>
      </c>
      <c r="G1" s="124" t="s">
        <v>199</v>
      </c>
      <c r="H1" s="124" t="s">
        <v>12</v>
      </c>
    </row>
    <row r="2" spans="1:8" outlineLevel="2" x14ac:dyDescent="0.25">
      <c r="A2" s="102" t="s">
        <v>444</v>
      </c>
      <c r="B2" s="102" t="str">
        <f>[1]!GetFolder(A2)</f>
        <v>C:\Documents and Settings\DAG\My Documents\Visual Studio 2010\Projects\Console_Apps\ImageSizeReader\ImageSizeReader</v>
      </c>
      <c r="C2" s="125" t="str">
        <f>[1]!GetLeafDirectoryName(B2)</f>
        <v>ImageSizeReader</v>
      </c>
      <c r="D2" s="125" t="str">
        <f>[1]!GetFile(A2)</f>
        <v>Program.cs</v>
      </c>
      <c r="E2" s="127">
        <f>IF(ISERROR(FIND("Count",A2)),[1]!dtmFileDateInfo(A2),"")</f>
        <v>40824.95484953704</v>
      </c>
      <c r="F2" s="125">
        <v>293</v>
      </c>
      <c r="G2" s="125" t="s">
        <v>445</v>
      </c>
      <c r="H2" s="126" t="s">
        <v>20</v>
      </c>
    </row>
    <row r="3" spans="1:8" outlineLevel="2" x14ac:dyDescent="0.25">
      <c r="A3" s="102" t="s">
        <v>444</v>
      </c>
      <c r="B3" s="102" t="str">
        <f>[1]!GetFolder(A3)</f>
        <v>C:\Documents and Settings\DAG\My Documents\Visual Studio 2010\Projects\Console_Apps\ImageSizeReader\ImageSizeReader</v>
      </c>
      <c r="C3" s="125" t="str">
        <f>[1]!GetLeafDirectoryName(B3)</f>
        <v>ImageSizeReader</v>
      </c>
      <c r="D3" s="125" t="str">
        <f>[1]!GetFile(A3)</f>
        <v>Program.cs</v>
      </c>
      <c r="E3" s="127">
        <f>IF(ISERROR(FIND("Count",A3)),[1]!dtmFileDateInfo(A3),"")</f>
        <v>40824.95484953704</v>
      </c>
      <c r="F3" s="125">
        <v>299</v>
      </c>
      <c r="G3" s="125" t="s">
        <v>446</v>
      </c>
      <c r="H3" s="126" t="s">
        <v>20</v>
      </c>
    </row>
    <row r="4" spans="1:8" outlineLevel="2" x14ac:dyDescent="0.25">
      <c r="A4" s="102" t="s">
        <v>444</v>
      </c>
      <c r="B4" s="102" t="str">
        <f>[1]!GetFolder(A4)</f>
        <v>C:\Documents and Settings\DAG\My Documents\Visual Studio 2010\Projects\Console_Apps\ImageSizeReader\ImageSizeReader</v>
      </c>
      <c r="C4" s="125" t="str">
        <f>[1]!GetLeafDirectoryName(B4)</f>
        <v>ImageSizeReader</v>
      </c>
      <c r="D4" s="125" t="str">
        <f>[1]!GetFile(A4)</f>
        <v>Program.cs</v>
      </c>
      <c r="E4" s="127">
        <f>IF(ISERROR(FIND("Count",A4)),[1]!dtmFileDateInfo(A4),"")</f>
        <v>40824.95484953704</v>
      </c>
      <c r="F4" s="125">
        <v>303</v>
      </c>
      <c r="G4" s="125" t="s">
        <v>446</v>
      </c>
      <c r="H4" s="126" t="s">
        <v>20</v>
      </c>
    </row>
    <row r="5" spans="1:8" s="123" customFormat="1" outlineLevel="1" x14ac:dyDescent="0.25">
      <c r="A5" s="102" t="s">
        <v>466</v>
      </c>
      <c r="B5" s="102"/>
      <c r="C5" s="125"/>
      <c r="D5" s="125"/>
      <c r="E5" s="127" t="str">
        <f>IF(ISERROR(FIND("Count",A5)),[1]!dtmFileDateInfo(A5),"")</f>
        <v/>
      </c>
      <c r="F5" s="125">
        <f>SUBTOTAL(3,F2:F4)</f>
        <v>3</v>
      </c>
      <c r="G5" s="125"/>
      <c r="H5" s="126"/>
    </row>
    <row r="6" spans="1:8" outlineLevel="2" x14ac:dyDescent="0.25">
      <c r="A6" s="102" t="s">
        <v>447</v>
      </c>
      <c r="B6" s="102" t="str">
        <f>[1]!GetFolder(A6)</f>
        <v>C:\Documents and Settings\DAG\My Documents\Visual Studio 2010\Projects\Tools_for_Programmers\CertStoreLister\CertStoreLister</v>
      </c>
      <c r="C6" s="125" t="str">
        <f>[1]!GetLeafDirectoryName(B6)</f>
        <v>CertStoreLister</v>
      </c>
      <c r="D6" s="125" t="str">
        <f>[1]!GetFile(A6)</f>
        <v>Program.cs</v>
      </c>
      <c r="E6" s="127">
        <f>IF(ISERROR(FIND("Count",A6)),[1]!dtmFileDateInfo(A6),"")</f>
        <v>41838.443460648145</v>
      </c>
      <c r="F6" s="125">
        <v>696</v>
      </c>
      <c r="G6" s="125" t="s">
        <v>448</v>
      </c>
      <c r="H6" s="126" t="s">
        <v>409</v>
      </c>
    </row>
    <row r="7" spans="1:8" outlineLevel="2" x14ac:dyDescent="0.25">
      <c r="A7" s="102" t="s">
        <v>447</v>
      </c>
      <c r="B7" s="102" t="str">
        <f>[1]!GetFolder(A7)</f>
        <v>C:\Documents and Settings\DAG\My Documents\Visual Studio 2010\Projects\Tools_for_Programmers\CertStoreLister\CertStoreLister</v>
      </c>
      <c r="C7" s="125" t="str">
        <f>[1]!GetLeafDirectoryName(B7)</f>
        <v>CertStoreLister</v>
      </c>
      <c r="D7" s="125" t="str">
        <f>[1]!GetFile(A7)</f>
        <v>Program.cs</v>
      </c>
      <c r="E7" s="127">
        <f>IF(ISERROR(FIND("Count",A7)),[1]!dtmFileDateInfo(A7),"")</f>
        <v>41838.443460648145</v>
      </c>
      <c r="F7" s="125">
        <v>744</v>
      </c>
      <c r="G7" s="125" t="s">
        <v>449</v>
      </c>
      <c r="H7" s="126" t="s">
        <v>409</v>
      </c>
    </row>
    <row r="8" spans="1:8" outlineLevel="2" x14ac:dyDescent="0.25">
      <c r="A8" s="102" t="s">
        <v>447</v>
      </c>
      <c r="B8" s="102" t="str">
        <f>[1]!GetFolder(A8)</f>
        <v>C:\Documents and Settings\DAG\My Documents\Visual Studio 2010\Projects\Tools_for_Programmers\CertStoreLister\CertStoreLister</v>
      </c>
      <c r="C8" s="125" t="str">
        <f>[1]!GetLeafDirectoryName(B8)</f>
        <v>CertStoreLister</v>
      </c>
      <c r="D8" s="125" t="str">
        <f>[1]!GetFile(A8)</f>
        <v>Program.cs</v>
      </c>
      <c r="E8" s="127">
        <f>IF(ISERROR(FIND("Count",A8)),[1]!dtmFileDateInfo(A8),"")</f>
        <v>41838.443460648145</v>
      </c>
      <c r="F8" s="125">
        <v>748</v>
      </c>
      <c r="G8" s="125" t="s">
        <v>450</v>
      </c>
      <c r="H8" s="126" t="s">
        <v>409</v>
      </c>
    </row>
    <row r="9" spans="1:8" outlineLevel="2" x14ac:dyDescent="0.25">
      <c r="A9" s="102" t="s">
        <v>447</v>
      </c>
      <c r="B9" s="102" t="str">
        <f>[1]!GetFolder(A9)</f>
        <v>C:\Documents and Settings\DAG\My Documents\Visual Studio 2010\Projects\Tools_for_Programmers\CertStoreLister\CertStoreLister</v>
      </c>
      <c r="C9" s="125" t="str">
        <f>[1]!GetLeafDirectoryName(B9)</f>
        <v>CertStoreLister</v>
      </c>
      <c r="D9" s="125" t="str">
        <f>[1]!GetFile(A9)</f>
        <v>Program.cs</v>
      </c>
      <c r="E9" s="127">
        <f>IF(ISERROR(FIND("Count",A9)),[1]!dtmFileDateInfo(A9),"")</f>
        <v>41838.443460648145</v>
      </c>
      <c r="F9" s="125">
        <v>751</v>
      </c>
      <c r="G9" s="125" t="s">
        <v>451</v>
      </c>
      <c r="H9" s="126" t="s">
        <v>409</v>
      </c>
    </row>
    <row r="10" spans="1:8" outlineLevel="2" x14ac:dyDescent="0.25">
      <c r="A10" s="102" t="s">
        <v>447</v>
      </c>
      <c r="B10" s="102" t="str">
        <f>[1]!GetFolder(A10)</f>
        <v>C:\Documents and Settings\DAG\My Documents\Visual Studio 2010\Projects\Tools_for_Programmers\CertStoreLister\CertStoreLister</v>
      </c>
      <c r="C10" s="125" t="str">
        <f>[1]!GetLeafDirectoryName(B10)</f>
        <v>CertStoreLister</v>
      </c>
      <c r="D10" s="125" t="str">
        <f>[1]!GetFile(A10)</f>
        <v>Program.cs</v>
      </c>
      <c r="E10" s="127">
        <f>IF(ISERROR(FIND("Count",A10)),[1]!dtmFileDateInfo(A10),"")</f>
        <v>41838.443460648145</v>
      </c>
      <c r="F10" s="125">
        <v>760</v>
      </c>
      <c r="G10" s="125" t="s">
        <v>452</v>
      </c>
      <c r="H10" s="126" t="s">
        <v>409</v>
      </c>
    </row>
    <row r="11" spans="1:8" outlineLevel="2" x14ac:dyDescent="0.25">
      <c r="A11" s="102" t="s">
        <v>447</v>
      </c>
      <c r="B11" s="102" t="str">
        <f>[1]!GetFolder(A11)</f>
        <v>C:\Documents and Settings\DAG\My Documents\Visual Studio 2010\Projects\Tools_for_Programmers\CertStoreLister\CertStoreLister</v>
      </c>
      <c r="C11" s="125" t="str">
        <f>[1]!GetLeafDirectoryName(B11)</f>
        <v>CertStoreLister</v>
      </c>
      <c r="D11" s="125" t="str">
        <f>[1]!GetFile(A11)</f>
        <v>Program.cs</v>
      </c>
      <c r="E11" s="127">
        <f>IF(ISERROR(FIND("Count",A11)),[1]!dtmFileDateInfo(A11),"")</f>
        <v>41838.443460648145</v>
      </c>
      <c r="F11" s="125">
        <v>766</v>
      </c>
      <c r="G11" s="125" t="s">
        <v>453</v>
      </c>
      <c r="H11" s="126" t="s">
        <v>409</v>
      </c>
    </row>
    <row r="12" spans="1:8" outlineLevel="2" x14ac:dyDescent="0.25">
      <c r="A12" s="102" t="s">
        <v>447</v>
      </c>
      <c r="B12" s="102" t="str">
        <f>[1]!GetFolder(A12)</f>
        <v>C:\Documents and Settings\DAG\My Documents\Visual Studio 2010\Projects\Tools_for_Programmers\CertStoreLister\CertStoreLister</v>
      </c>
      <c r="C12" s="125" t="str">
        <f>[1]!GetLeafDirectoryName(B12)</f>
        <v>CertStoreLister</v>
      </c>
      <c r="D12" s="125" t="str">
        <f>[1]!GetFile(A12)</f>
        <v>Program.cs</v>
      </c>
      <c r="E12" s="127">
        <f>IF(ISERROR(FIND("Count",A12)),[1]!dtmFileDateInfo(A12),"")</f>
        <v>41838.443460648145</v>
      </c>
      <c r="F12" s="125">
        <v>767</v>
      </c>
      <c r="G12" s="125" t="s">
        <v>454</v>
      </c>
      <c r="H12" s="126" t="s">
        <v>409</v>
      </c>
    </row>
    <row r="13" spans="1:8" outlineLevel="2" x14ac:dyDescent="0.25">
      <c r="A13" s="102" t="s">
        <v>447</v>
      </c>
      <c r="B13" s="102" t="str">
        <f>[1]!GetFolder(A13)</f>
        <v>C:\Documents and Settings\DAG\My Documents\Visual Studio 2010\Projects\Tools_for_Programmers\CertStoreLister\CertStoreLister</v>
      </c>
      <c r="C13" s="125" t="str">
        <f>[1]!GetLeafDirectoryName(B13)</f>
        <v>CertStoreLister</v>
      </c>
      <c r="D13" s="125" t="str">
        <f>[1]!GetFile(A13)</f>
        <v>Program.cs</v>
      </c>
      <c r="E13" s="127">
        <f>IF(ISERROR(FIND("Count",A13)),[1]!dtmFileDateInfo(A13),"")</f>
        <v>41838.443460648145</v>
      </c>
      <c r="F13" s="125">
        <v>770</v>
      </c>
      <c r="G13" s="125" t="s">
        <v>455</v>
      </c>
      <c r="H13" s="126" t="s">
        <v>409</v>
      </c>
    </row>
    <row r="14" spans="1:8" outlineLevel="2" x14ac:dyDescent="0.25">
      <c r="A14" s="102" t="s">
        <v>447</v>
      </c>
      <c r="B14" s="102" t="str">
        <f>[1]!GetFolder(A14)</f>
        <v>C:\Documents and Settings\DAG\My Documents\Visual Studio 2010\Projects\Tools_for_Programmers\CertStoreLister\CertStoreLister</v>
      </c>
      <c r="C14" s="125" t="str">
        <f>[1]!GetLeafDirectoryName(B14)</f>
        <v>CertStoreLister</v>
      </c>
      <c r="D14" s="125" t="str">
        <f>[1]!GetFile(A14)</f>
        <v>Program.cs</v>
      </c>
      <c r="E14" s="127">
        <f>IF(ISERROR(FIND("Count",A14)),[1]!dtmFileDateInfo(A14),"")</f>
        <v>41838.443460648145</v>
      </c>
      <c r="F14" s="125">
        <v>775</v>
      </c>
      <c r="G14" s="125" t="s">
        <v>456</v>
      </c>
      <c r="H14" s="126" t="s">
        <v>409</v>
      </c>
    </row>
    <row r="15" spans="1:8" outlineLevel="2" x14ac:dyDescent="0.25">
      <c r="A15" s="102" t="s">
        <v>447</v>
      </c>
      <c r="B15" s="102" t="str">
        <f>[1]!GetFolder(A15)</f>
        <v>C:\Documents and Settings\DAG\My Documents\Visual Studio 2010\Projects\Tools_for_Programmers\CertStoreLister\CertStoreLister</v>
      </c>
      <c r="C15" s="125" t="str">
        <f>[1]!GetLeafDirectoryName(B15)</f>
        <v>CertStoreLister</v>
      </c>
      <c r="D15" s="125" t="str">
        <f>[1]!GetFile(A15)</f>
        <v>Program.cs</v>
      </c>
      <c r="E15" s="127">
        <f>IF(ISERROR(FIND("Count",A15)),[1]!dtmFileDateInfo(A15),"")</f>
        <v>41838.443460648145</v>
      </c>
      <c r="F15" s="125">
        <v>777</v>
      </c>
      <c r="G15" s="125" t="s">
        <v>457</v>
      </c>
      <c r="H15" s="126" t="s">
        <v>409</v>
      </c>
    </row>
    <row r="16" spans="1:8" outlineLevel="2" x14ac:dyDescent="0.25">
      <c r="A16" s="102" t="s">
        <v>447</v>
      </c>
      <c r="B16" s="102" t="str">
        <f>[1]!GetFolder(A16)</f>
        <v>C:\Documents and Settings\DAG\My Documents\Visual Studio 2010\Projects\Tools_for_Programmers\CertStoreLister\CertStoreLister</v>
      </c>
      <c r="C16" s="125" t="str">
        <f>[1]!GetLeafDirectoryName(B16)</f>
        <v>CertStoreLister</v>
      </c>
      <c r="D16" s="125" t="str">
        <f>[1]!GetFile(A16)</f>
        <v>Program.cs</v>
      </c>
      <c r="E16" s="127">
        <f>IF(ISERROR(FIND("Count",A16)),[1]!dtmFileDateInfo(A16),"")</f>
        <v>41838.443460648145</v>
      </c>
      <c r="F16" s="125">
        <v>782</v>
      </c>
      <c r="G16" s="125" t="s">
        <v>458</v>
      </c>
      <c r="H16" s="126" t="s">
        <v>409</v>
      </c>
    </row>
    <row r="17" spans="1:8" outlineLevel="2" x14ac:dyDescent="0.25">
      <c r="A17" s="102" t="s">
        <v>447</v>
      </c>
      <c r="B17" s="102" t="str">
        <f>[1]!GetFolder(A17)</f>
        <v>C:\Documents and Settings\DAG\My Documents\Visual Studio 2010\Projects\Tools_for_Programmers\CertStoreLister\CertStoreLister</v>
      </c>
      <c r="C17" s="125" t="str">
        <f>[1]!GetLeafDirectoryName(B17)</f>
        <v>CertStoreLister</v>
      </c>
      <c r="D17" s="125" t="str">
        <f>[1]!GetFile(A17)</f>
        <v>Program.cs</v>
      </c>
      <c r="E17" s="127">
        <f>IF(ISERROR(FIND("Count",A17)),[1]!dtmFileDateInfo(A17),"")</f>
        <v>41838.443460648145</v>
      </c>
      <c r="F17" s="125">
        <v>786</v>
      </c>
      <c r="G17" s="125" t="s">
        <v>459</v>
      </c>
      <c r="H17" s="126" t="s">
        <v>409</v>
      </c>
    </row>
    <row r="18" spans="1:8" s="123" customFormat="1" outlineLevel="1" x14ac:dyDescent="0.25">
      <c r="A18" s="102" t="s">
        <v>467</v>
      </c>
      <c r="B18" s="102"/>
      <c r="C18" s="125"/>
      <c r="D18" s="125"/>
      <c r="E18" s="127" t="str">
        <f>IF(ISERROR(FIND("Count",A18)),[1]!dtmFileDateInfo(A18),"")</f>
        <v/>
      </c>
      <c r="F18" s="125">
        <f>SUBTOTAL(3,F6:F17)</f>
        <v>12</v>
      </c>
      <c r="G18" s="125"/>
      <c r="H18" s="126"/>
    </row>
    <row r="19" spans="1:8" outlineLevel="2" x14ac:dyDescent="0.25">
      <c r="A19" s="102" t="s">
        <v>460</v>
      </c>
      <c r="B19" s="102" t="str">
        <f>[1]!GetFolder(A19)</f>
        <v>C:\Documents and Settings\DAG\My Documents\Visual Studio 2010\Projects\WizardWrx_Libs\SharedUtl2\SharedUtl2_Test_Harness\SharedUtl2_Test_Harness</v>
      </c>
      <c r="C19" s="125" t="str">
        <f>[1]!GetLeafDirectoryName(B19)</f>
        <v>SharedUtl2_Test_Harness</v>
      </c>
      <c r="D19" s="125" t="str">
        <f>[1]!GetFile(A19)</f>
        <v>Program.cs</v>
      </c>
      <c r="E19" s="127">
        <f>IF(ISERROR(FIND("Count",A19)),[1]!dtmFileDateInfo(A19),"")</f>
        <v>40880.819803240738</v>
      </c>
      <c r="F19" s="125">
        <v>218</v>
      </c>
      <c r="G19" s="125" t="s">
        <v>461</v>
      </c>
      <c r="H19" s="126" t="s">
        <v>20</v>
      </c>
    </row>
    <row r="20" spans="1:8" outlineLevel="2" x14ac:dyDescent="0.25">
      <c r="A20" s="102" t="s">
        <v>460</v>
      </c>
      <c r="B20" s="102" t="str">
        <f>[1]!GetFolder(A20)</f>
        <v>C:\Documents and Settings\DAG\My Documents\Visual Studio 2010\Projects\WizardWrx_Libs\SharedUtl2\SharedUtl2_Test_Harness\SharedUtl2_Test_Harness</v>
      </c>
      <c r="C20" s="125" t="str">
        <f>[1]!GetLeafDirectoryName(B20)</f>
        <v>SharedUtl2_Test_Harness</v>
      </c>
      <c r="D20" s="125" t="str">
        <f>[1]!GetFile(A20)</f>
        <v>Program.cs</v>
      </c>
      <c r="E20" s="127">
        <f>IF(ISERROR(FIND("Count",A20)),[1]!dtmFileDateInfo(A20),"")</f>
        <v>40880.819803240738</v>
      </c>
      <c r="F20" s="125">
        <v>970</v>
      </c>
      <c r="G20" s="125" t="s">
        <v>462</v>
      </c>
      <c r="H20" s="126" t="s">
        <v>20</v>
      </c>
    </row>
    <row r="21" spans="1:8" outlineLevel="2" x14ac:dyDescent="0.25">
      <c r="A21" s="102" t="s">
        <v>460</v>
      </c>
      <c r="B21" s="102" t="str">
        <f>[1]!GetFolder(A21)</f>
        <v>C:\Documents and Settings\DAG\My Documents\Visual Studio 2010\Projects\WizardWrx_Libs\SharedUtl2\SharedUtl2_Test_Harness\SharedUtl2_Test_Harness</v>
      </c>
      <c r="C21" s="125" t="str">
        <f>[1]!GetLeafDirectoryName(B21)</f>
        <v>SharedUtl2_Test_Harness</v>
      </c>
      <c r="D21" s="125" t="str">
        <f>[1]!GetFile(A21)</f>
        <v>Program.cs</v>
      </c>
      <c r="E21" s="127">
        <f>IF(ISERROR(FIND("Count",A21)),[1]!dtmFileDateInfo(A21),"")</f>
        <v>40880.819803240738</v>
      </c>
      <c r="F21" s="125">
        <v>972</v>
      </c>
      <c r="G21" s="125" t="s">
        <v>463</v>
      </c>
      <c r="H21" s="126" t="s">
        <v>20</v>
      </c>
    </row>
    <row r="22" spans="1:8" outlineLevel="2" x14ac:dyDescent="0.25">
      <c r="A22" s="102" t="s">
        <v>460</v>
      </c>
      <c r="B22" s="102" t="str">
        <f>[1]!GetFolder(A22)</f>
        <v>C:\Documents and Settings\DAG\My Documents\Visual Studio 2010\Projects\WizardWrx_Libs\SharedUtl2\SharedUtl2_Test_Harness\SharedUtl2_Test_Harness</v>
      </c>
      <c r="C22" s="125" t="str">
        <f>[1]!GetLeafDirectoryName(B22)</f>
        <v>SharedUtl2_Test_Harness</v>
      </c>
      <c r="D22" s="125" t="str">
        <f>[1]!GetFile(A22)</f>
        <v>Program.cs</v>
      </c>
      <c r="E22" s="127">
        <f>IF(ISERROR(FIND("Count",A22)),[1]!dtmFileDateInfo(A22),"")</f>
        <v>40880.819803240738</v>
      </c>
      <c r="F22" s="125">
        <v>978</v>
      </c>
      <c r="G22" s="125" t="s">
        <v>464</v>
      </c>
      <c r="H22" s="126" t="s">
        <v>20</v>
      </c>
    </row>
    <row r="23" spans="1:8" outlineLevel="2" x14ac:dyDescent="0.25">
      <c r="A23" s="102" t="s">
        <v>460</v>
      </c>
      <c r="B23" s="102" t="str">
        <f>[1]!GetFolder(A23)</f>
        <v>C:\Documents and Settings\DAG\My Documents\Visual Studio 2010\Projects\WizardWrx_Libs\SharedUtl2\SharedUtl2_Test_Harness\SharedUtl2_Test_Harness</v>
      </c>
      <c r="C23" s="125" t="str">
        <f>[1]!GetLeafDirectoryName(B23)</f>
        <v>SharedUtl2_Test_Harness</v>
      </c>
      <c r="D23" s="125" t="str">
        <f>[1]!GetFile(A23)</f>
        <v>Program.cs</v>
      </c>
      <c r="E23" s="127">
        <f>IF(ISERROR(FIND("Count",A23)),[1]!dtmFileDateInfo(A23),"")</f>
        <v>40880.819803240738</v>
      </c>
      <c r="F23" s="125">
        <v>979</v>
      </c>
      <c r="G23" s="125" t="s">
        <v>465</v>
      </c>
      <c r="H23" s="126" t="s">
        <v>20</v>
      </c>
    </row>
    <row r="24" spans="1:8" s="123" customFormat="1" outlineLevel="1" x14ac:dyDescent="0.25">
      <c r="A24" s="102" t="s">
        <v>468</v>
      </c>
      <c r="B24" s="102"/>
      <c r="C24" s="125"/>
      <c r="D24" s="125"/>
      <c r="E24" s="127" t="str">
        <f>IF(ISERROR(FIND("Count",A24)),[1]!dtmFileDateInfo(A24),"")</f>
        <v/>
      </c>
      <c r="F24" s="125">
        <f>SUBTOTAL(3,F19:F23)</f>
        <v>5</v>
      </c>
      <c r="G24" s="125"/>
      <c r="H24" s="126"/>
    </row>
    <row r="25" spans="1:8" s="123" customFormat="1" x14ac:dyDescent="0.25">
      <c r="A25" s="102" t="s">
        <v>469</v>
      </c>
      <c r="B25" s="102"/>
      <c r="C25" s="125"/>
      <c r="D25" s="125"/>
      <c r="E25" s="127" t="str">
        <f>IF(ISERROR(FIND("Count",A25)),[1]!dtmFileDateInfo(A25),"")</f>
        <v/>
      </c>
      <c r="F25" s="125">
        <f>SUBTOTAL(3,F2:F24)</f>
        <v>20</v>
      </c>
      <c r="G25" s="125"/>
      <c r="H25" s="126"/>
    </row>
  </sheetData>
  <conditionalFormatting sqref="A2:H25">
    <cfRule type="expression" dxfId="6" priority="3">
      <formula>OR($H2="Done",$H2="OK")</formula>
    </cfRule>
  </conditionalFormatting>
  <conditionalFormatting sqref="A2:H25">
    <cfRule type="expression" dxfId="5" priority="2">
      <formula>FIND("Count",$A2)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G22" sqref="G22"/>
    </sheetView>
  </sheetViews>
  <sheetFormatPr defaultRowHeight="15" x14ac:dyDescent="0.25"/>
  <sheetData>
    <row r="1" spans="1:3" x14ac:dyDescent="0.25">
      <c r="A1" t="s">
        <v>155</v>
      </c>
      <c r="B1" t="s">
        <v>43</v>
      </c>
      <c r="C1" t="s">
        <v>13</v>
      </c>
    </row>
    <row r="2" spans="1:3" x14ac:dyDescent="0.25">
      <c r="A2" t="s">
        <v>471</v>
      </c>
      <c r="B2" t="s">
        <v>472</v>
      </c>
      <c r="C2" t="s">
        <v>473</v>
      </c>
    </row>
    <row r="3" spans="1:3" x14ac:dyDescent="0.25">
      <c r="A3" t="s">
        <v>474</v>
      </c>
      <c r="B3" t="s">
        <v>475</v>
      </c>
      <c r="C3" t="s">
        <v>476</v>
      </c>
    </row>
    <row r="4" spans="1:3" x14ac:dyDescent="0.25">
      <c r="A4" t="s">
        <v>477</v>
      </c>
      <c r="B4" t="s">
        <v>478</v>
      </c>
      <c r="C4" s="129" t="s">
        <v>479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"/>
  <sheetViews>
    <sheetView tabSelected="1" topLeftCell="B1" workbookViewId="0">
      <pane xSplit="1" ySplit="1" topLeftCell="D83" activePane="bottomRight" state="frozen"/>
      <selection activeCell="B1" sqref="B1"/>
      <selection pane="topRight" activeCell="C1" sqref="C1"/>
      <selection pane="bottomLeft" activeCell="B2" sqref="B2"/>
      <selection pane="bottomRight" activeCell="F92" sqref="F92"/>
    </sheetView>
  </sheetViews>
  <sheetFormatPr defaultRowHeight="15" outlineLevelRow="2" x14ac:dyDescent="0.25"/>
  <cols>
    <col min="1" max="1" width="127.25" style="138" bestFit="1" customWidth="1"/>
    <col min="2" max="2" width="6.125" style="138" bestFit="1" customWidth="1"/>
    <col min="3" max="3" width="50.625" style="138" customWidth="1"/>
    <col min="4" max="4" width="31.5" style="138" bestFit="1" customWidth="1"/>
    <col min="5" max="5" width="6.875" style="138" bestFit="1" customWidth="1"/>
    <col min="6" max="6" width="8.75" style="138" bestFit="1" customWidth="1"/>
    <col min="7" max="7" width="20.125" style="138" bestFit="1" customWidth="1"/>
    <col min="8" max="8" width="7.875" style="138" customWidth="1"/>
    <col min="9" max="9" width="132.625" style="138" bestFit="1" customWidth="1"/>
    <col min="10" max="16384" width="9" style="138"/>
  </cols>
  <sheetData>
    <row r="1" spans="1:9" ht="18" x14ac:dyDescent="0.25">
      <c r="A1" s="178" t="s">
        <v>593</v>
      </c>
      <c r="B1" s="178" t="s">
        <v>392</v>
      </c>
      <c r="C1" s="178" t="s">
        <v>199</v>
      </c>
      <c r="D1" s="178" t="s">
        <v>592</v>
      </c>
      <c r="E1" s="178" t="s">
        <v>196</v>
      </c>
      <c r="F1" s="178" t="s">
        <v>12</v>
      </c>
      <c r="G1" s="178" t="s">
        <v>83</v>
      </c>
      <c r="H1" s="178" t="s">
        <v>82</v>
      </c>
      <c r="I1" s="178" t="s">
        <v>591</v>
      </c>
    </row>
    <row r="2" spans="1:9" ht="30" outlineLevel="2" x14ac:dyDescent="0.25">
      <c r="A2" s="179" t="s">
        <v>594</v>
      </c>
      <c r="B2" s="180">
        <v>605</v>
      </c>
      <c r="C2" s="183" t="s">
        <v>595</v>
      </c>
      <c r="D2" s="180" t="str">
        <f>[1]!GetFile(A2)</f>
        <v>TableDrivenConversionEngine.cs</v>
      </c>
      <c r="E2" s="180" t="str">
        <f>UPPER(RIGHT([1]!GetExtension(A2),LEN([1]!GetExtension(A2))-1))</f>
        <v>CS</v>
      </c>
      <c r="F2" s="180" t="s">
        <v>20</v>
      </c>
      <c r="G2" s="181">
        <f>[1]!dtmFileDateInfo(A2)</f>
        <v>41314.642870370371</v>
      </c>
      <c r="H2" s="182">
        <f>[1]!lngFileSize(A2)</f>
        <v>124878</v>
      </c>
      <c r="I2" s="180" t="str">
        <f>[1]!GetFolder(A2)</f>
        <v>C:\Documents and Settings\DAG\My Documents\Visual Studio 2010\Projects\NOLANB\DataEaseDirectoryReader\WizardWrx.BinaryIO</v>
      </c>
    </row>
    <row r="3" spans="1:9" ht="45" outlineLevel="2" x14ac:dyDescent="0.25">
      <c r="A3" s="179" t="s">
        <v>594</v>
      </c>
      <c r="B3" s="180">
        <v>1007</v>
      </c>
      <c r="C3" s="183" t="s">
        <v>596</v>
      </c>
      <c r="D3" s="180" t="str">
        <f>[1]!GetFile(A3)</f>
        <v>TableDrivenConversionEngine.cs</v>
      </c>
      <c r="E3" s="180" t="str">
        <f>UPPER(RIGHT([1]!GetExtension(A3),LEN([1]!GetExtension(A3))-1))</f>
        <v>CS</v>
      </c>
      <c r="F3" s="180" t="s">
        <v>20</v>
      </c>
      <c r="G3" s="181">
        <f>[1]!dtmFileDateInfo(A3)</f>
        <v>41314.642870370371</v>
      </c>
      <c r="H3" s="182">
        <f>[1]!lngFileSize(A3)</f>
        <v>124878</v>
      </c>
      <c r="I3" s="180" t="str">
        <f>[1]!GetFolder(A3)</f>
        <v>C:\Documents and Settings\DAG\My Documents\Visual Studio 2010\Projects\NOLANB\DataEaseDirectoryReader\WizardWrx.BinaryIO</v>
      </c>
    </row>
    <row r="4" spans="1:9" ht="30" outlineLevel="2" x14ac:dyDescent="0.25">
      <c r="A4" s="179" t="s">
        <v>594</v>
      </c>
      <c r="B4" s="180">
        <v>1066</v>
      </c>
      <c r="C4" s="183" t="s">
        <v>597</v>
      </c>
      <c r="D4" s="180" t="str">
        <f>[1]!GetFile(A4)</f>
        <v>TableDrivenConversionEngine.cs</v>
      </c>
      <c r="E4" s="180" t="str">
        <f>UPPER(RIGHT([1]!GetExtension(A4),LEN([1]!GetExtension(A4))-1))</f>
        <v>CS</v>
      </c>
      <c r="F4" s="180" t="s">
        <v>20</v>
      </c>
      <c r="G4" s="181">
        <f>[1]!dtmFileDateInfo(A4)</f>
        <v>41314.642870370371</v>
      </c>
      <c r="H4" s="182">
        <f>[1]!lngFileSize(A4)</f>
        <v>124878</v>
      </c>
      <c r="I4" s="180" t="str">
        <f>[1]!GetFolder(A4)</f>
        <v>C:\Documents and Settings\DAG\My Documents\Visual Studio 2010\Projects\NOLANB\DataEaseDirectoryReader\WizardWrx.BinaryIO</v>
      </c>
    </row>
    <row r="5" spans="1:9" ht="30" outlineLevel="2" x14ac:dyDescent="0.25">
      <c r="A5" s="179" t="s">
        <v>594</v>
      </c>
      <c r="B5" s="180">
        <v>1073</v>
      </c>
      <c r="C5" s="183" t="s">
        <v>598</v>
      </c>
      <c r="D5" s="180" t="str">
        <f>[1]!GetFile(A5)</f>
        <v>TableDrivenConversionEngine.cs</v>
      </c>
      <c r="E5" s="180" t="str">
        <f>UPPER(RIGHT([1]!GetExtension(A5),LEN([1]!GetExtension(A5))-1))</f>
        <v>CS</v>
      </c>
      <c r="F5" s="180" t="s">
        <v>20</v>
      </c>
      <c r="G5" s="181">
        <f>[1]!dtmFileDateInfo(A5)</f>
        <v>41314.642870370371</v>
      </c>
      <c r="H5" s="182">
        <f>[1]!lngFileSize(A5)</f>
        <v>124878</v>
      </c>
      <c r="I5" s="180" t="str">
        <f>[1]!GetFolder(A5)</f>
        <v>C:\Documents and Settings\DAG\My Documents\Visual Studio 2010\Projects\NOLANB\DataEaseDirectoryReader\WizardWrx.BinaryIO</v>
      </c>
    </row>
    <row r="6" spans="1:9" ht="30" outlineLevel="2" x14ac:dyDescent="0.25">
      <c r="A6" s="179" t="s">
        <v>594</v>
      </c>
      <c r="B6" s="180">
        <v>1076</v>
      </c>
      <c r="C6" s="183" t="s">
        <v>599</v>
      </c>
      <c r="D6" s="180" t="str">
        <f>[1]!GetFile(A6)</f>
        <v>TableDrivenConversionEngine.cs</v>
      </c>
      <c r="E6" s="180" t="str">
        <f>UPPER(RIGHT([1]!GetExtension(A6),LEN([1]!GetExtension(A6))-1))</f>
        <v>CS</v>
      </c>
      <c r="F6" s="180" t="s">
        <v>20</v>
      </c>
      <c r="G6" s="181">
        <f>[1]!dtmFileDateInfo(A6)</f>
        <v>41314.642870370371</v>
      </c>
      <c r="H6" s="182">
        <f>[1]!lngFileSize(A6)</f>
        <v>124878</v>
      </c>
      <c r="I6" s="180" t="str">
        <f>[1]!GetFolder(A6)</f>
        <v>C:\Documents and Settings\DAG\My Documents\Visual Studio 2010\Projects\NOLANB\DataEaseDirectoryReader\WizardWrx.BinaryIO</v>
      </c>
    </row>
    <row r="7" spans="1:9" ht="45" outlineLevel="2" x14ac:dyDescent="0.25">
      <c r="A7" s="179" t="s">
        <v>594</v>
      </c>
      <c r="B7" s="180">
        <v>1079</v>
      </c>
      <c r="C7" s="183" t="s">
        <v>600</v>
      </c>
      <c r="D7" s="180" t="str">
        <f>[1]!GetFile(A7)</f>
        <v>TableDrivenConversionEngine.cs</v>
      </c>
      <c r="E7" s="180" t="str">
        <f>UPPER(RIGHT([1]!GetExtension(A7),LEN([1]!GetExtension(A7))-1))</f>
        <v>CS</v>
      </c>
      <c r="F7" s="180" t="s">
        <v>20</v>
      </c>
      <c r="G7" s="181">
        <f>[1]!dtmFileDateInfo(A7)</f>
        <v>41314.642870370371</v>
      </c>
      <c r="H7" s="182">
        <f>[1]!lngFileSize(A7)</f>
        <v>124878</v>
      </c>
      <c r="I7" s="180" t="str">
        <f>[1]!GetFolder(A7)</f>
        <v>C:\Documents and Settings\DAG\My Documents\Visual Studio 2010\Projects\NOLANB\DataEaseDirectoryReader\WizardWrx.BinaryIO</v>
      </c>
    </row>
    <row r="8" spans="1:9" ht="30" outlineLevel="2" x14ac:dyDescent="0.25">
      <c r="A8" s="179" t="s">
        <v>594</v>
      </c>
      <c r="B8" s="180">
        <v>1084</v>
      </c>
      <c r="C8" s="183" t="s">
        <v>601</v>
      </c>
      <c r="D8" s="180" t="str">
        <f>[1]!GetFile(A8)</f>
        <v>TableDrivenConversionEngine.cs</v>
      </c>
      <c r="E8" s="180" t="str">
        <f>UPPER(RIGHT([1]!GetExtension(A8),LEN([1]!GetExtension(A8))-1))</f>
        <v>CS</v>
      </c>
      <c r="F8" s="180" t="s">
        <v>20</v>
      </c>
      <c r="G8" s="181">
        <f>[1]!dtmFileDateInfo(A8)</f>
        <v>41314.642870370371</v>
      </c>
      <c r="H8" s="182">
        <f>[1]!lngFileSize(A8)</f>
        <v>124878</v>
      </c>
      <c r="I8" s="180" t="str">
        <f>[1]!GetFolder(A8)</f>
        <v>C:\Documents and Settings\DAG\My Documents\Visual Studio 2010\Projects\NOLANB\DataEaseDirectoryReader\WizardWrx.BinaryIO</v>
      </c>
    </row>
    <row r="9" spans="1:9" ht="30" outlineLevel="2" x14ac:dyDescent="0.25">
      <c r="A9" s="179" t="s">
        <v>594</v>
      </c>
      <c r="B9" s="180">
        <v>1873</v>
      </c>
      <c r="C9" s="183" t="s">
        <v>602</v>
      </c>
      <c r="D9" s="180" t="str">
        <f>[1]!GetFile(A9)</f>
        <v>TableDrivenConversionEngine.cs</v>
      </c>
      <c r="E9" s="180" t="str">
        <f>UPPER(RIGHT([1]!GetExtension(A9),LEN([1]!GetExtension(A9))-1))</f>
        <v>CS</v>
      </c>
      <c r="F9" s="180" t="s">
        <v>20</v>
      </c>
      <c r="G9" s="181">
        <f>[1]!dtmFileDateInfo(A9)</f>
        <v>41314.642870370371</v>
      </c>
      <c r="H9" s="182">
        <f>[1]!lngFileSize(A9)</f>
        <v>124878</v>
      </c>
      <c r="I9" s="180" t="str">
        <f>[1]!GetFolder(A9)</f>
        <v>C:\Documents and Settings\DAG\My Documents\Visual Studio 2010\Projects\NOLANB\DataEaseDirectoryReader\WizardWrx.BinaryIO</v>
      </c>
    </row>
    <row r="10" spans="1:9" ht="30" outlineLevel="2" x14ac:dyDescent="0.25">
      <c r="A10" s="179" t="s">
        <v>594</v>
      </c>
      <c r="B10" s="180">
        <v>1878</v>
      </c>
      <c r="C10" s="183" t="s">
        <v>602</v>
      </c>
      <c r="D10" s="180" t="str">
        <f>[1]!GetFile(A10)</f>
        <v>TableDrivenConversionEngine.cs</v>
      </c>
      <c r="E10" s="180" t="str">
        <f>UPPER(RIGHT([1]!GetExtension(A10),LEN([1]!GetExtension(A10))-1))</f>
        <v>CS</v>
      </c>
      <c r="F10" s="180" t="s">
        <v>20</v>
      </c>
      <c r="G10" s="181">
        <f>[1]!dtmFileDateInfo(A10)</f>
        <v>41314.642870370371</v>
      </c>
      <c r="H10" s="182">
        <f>[1]!lngFileSize(A10)</f>
        <v>124878</v>
      </c>
      <c r="I10" s="180" t="str">
        <f>[1]!GetFolder(A10)</f>
        <v>C:\Documents and Settings\DAG\My Documents\Visual Studio 2010\Projects\NOLANB\DataEaseDirectoryReader\WizardWrx.BinaryIO</v>
      </c>
    </row>
    <row r="11" spans="1:9" ht="45" outlineLevel="2" x14ac:dyDescent="0.25">
      <c r="A11" s="179" t="s">
        <v>594</v>
      </c>
      <c r="B11" s="180">
        <v>2188</v>
      </c>
      <c r="C11" s="183" t="s">
        <v>603</v>
      </c>
      <c r="D11" s="180" t="str">
        <f>[1]!GetFile(A11)</f>
        <v>TableDrivenConversionEngine.cs</v>
      </c>
      <c r="E11" s="180" t="str">
        <f>UPPER(RIGHT([1]!GetExtension(A11),LEN([1]!GetExtension(A11))-1))</f>
        <v>CS</v>
      </c>
      <c r="F11" s="180" t="s">
        <v>20</v>
      </c>
      <c r="G11" s="181">
        <f>[1]!dtmFileDateInfo(A11)</f>
        <v>41314.642870370371</v>
      </c>
      <c r="H11" s="182">
        <f>[1]!lngFileSize(A11)</f>
        <v>124878</v>
      </c>
      <c r="I11" s="180" t="str">
        <f>[1]!GetFolder(A11)</f>
        <v>C:\Documents and Settings\DAG\My Documents\Visual Studio 2010\Projects\NOLANB\DataEaseDirectoryReader\WizardWrx.BinaryIO</v>
      </c>
    </row>
    <row r="12" spans="1:9" outlineLevel="1" x14ac:dyDescent="0.25">
      <c r="A12" s="179" t="s">
        <v>641</v>
      </c>
      <c r="B12" s="180">
        <f>SUBTOTAL(3,B2:B11)</f>
        <v>10</v>
      </c>
      <c r="C12" s="183"/>
      <c r="D12" s="180"/>
      <c r="E12" s="180"/>
      <c r="F12" s="180"/>
      <c r="G12" s="181"/>
      <c r="H12" s="182"/>
      <c r="I12" s="180">
        <f>SUBTOTAL(3,I2:I11)</f>
        <v>10</v>
      </c>
    </row>
    <row r="13" spans="1:9" ht="30" outlineLevel="2" x14ac:dyDescent="0.25">
      <c r="A13" s="179" t="s">
        <v>382</v>
      </c>
      <c r="B13" s="180">
        <v>43</v>
      </c>
      <c r="C13" s="183" t="s">
        <v>604</v>
      </c>
      <c r="D13" s="180" t="str">
        <f>[1]!GetFile(A13)</f>
        <v>ReportDetail.cs</v>
      </c>
      <c r="E13" s="180" t="str">
        <f>UPPER(RIGHT([1]!GetExtension(A13),LEN([1]!GetExtension(A13))-1))</f>
        <v>CS</v>
      </c>
      <c r="F13" s="180" t="s">
        <v>409</v>
      </c>
      <c r="G13" s="181">
        <f>[1]!dtmFileDateInfo(A13)</f>
        <v>41841.537870370368</v>
      </c>
      <c r="H13" s="182">
        <f>[1]!lngFileSize(A13)</f>
        <v>65600</v>
      </c>
      <c r="I13" s="180" t="str">
        <f>[1]!GetFolder(A13)</f>
        <v>C:\Documents and Settings\DAG\My Documents\Visual Studio 2010\Projects\WizardWrx_Libs\SharedUtl4\SharedUtl4</v>
      </c>
    </row>
    <row r="14" spans="1:9" ht="30" outlineLevel="2" x14ac:dyDescent="0.25">
      <c r="A14" s="179" t="s">
        <v>382</v>
      </c>
      <c r="B14" s="180">
        <v>44</v>
      </c>
      <c r="C14" s="183" t="s">
        <v>605</v>
      </c>
      <c r="D14" s="180" t="str">
        <f>[1]!GetFile(A14)</f>
        <v>ReportDetail.cs</v>
      </c>
      <c r="E14" s="180" t="str">
        <f>UPPER(RIGHT([1]!GetExtension(A14),LEN([1]!GetExtension(A14))-1))</f>
        <v>CS</v>
      </c>
      <c r="F14" s="180" t="s">
        <v>409</v>
      </c>
      <c r="G14" s="181">
        <f>[1]!dtmFileDateInfo(A14)</f>
        <v>41841.537870370368</v>
      </c>
      <c r="H14" s="182">
        <f>[1]!lngFileSize(A14)</f>
        <v>65600</v>
      </c>
      <c r="I14" s="180" t="str">
        <f>[1]!GetFolder(A14)</f>
        <v>C:\Documents and Settings\DAG\My Documents\Visual Studio 2010\Projects\WizardWrx_Libs\SharedUtl4\SharedUtl4</v>
      </c>
    </row>
    <row r="15" spans="1:9" ht="30" outlineLevel="2" x14ac:dyDescent="0.25">
      <c r="A15" s="179" t="s">
        <v>382</v>
      </c>
      <c r="B15" s="180">
        <v>201</v>
      </c>
      <c r="C15" s="183" t="s">
        <v>606</v>
      </c>
      <c r="D15" s="180" t="str">
        <f>[1]!GetFile(A15)</f>
        <v>ReportDetail.cs</v>
      </c>
      <c r="E15" s="180" t="str">
        <f>UPPER(RIGHT([1]!GetExtension(A15),LEN([1]!GetExtension(A15))-1))</f>
        <v>CS</v>
      </c>
      <c r="F15" s="180" t="s">
        <v>409</v>
      </c>
      <c r="G15" s="181">
        <f>[1]!dtmFileDateInfo(A15)</f>
        <v>41841.537870370368</v>
      </c>
      <c r="H15" s="182">
        <f>[1]!lngFileSize(A15)</f>
        <v>65600</v>
      </c>
      <c r="I15" s="180" t="str">
        <f>[1]!GetFolder(A15)</f>
        <v>C:\Documents and Settings\DAG\My Documents\Visual Studio 2010\Projects\WizardWrx_Libs\SharedUtl4\SharedUtl4</v>
      </c>
    </row>
    <row r="16" spans="1:9" ht="30" outlineLevel="2" x14ac:dyDescent="0.25">
      <c r="A16" s="179" t="s">
        <v>382</v>
      </c>
      <c r="B16" s="180">
        <v>295</v>
      </c>
      <c r="C16" s="183" t="s">
        <v>607</v>
      </c>
      <c r="D16" s="180" t="str">
        <f>[1]!GetFile(A16)</f>
        <v>ReportDetail.cs</v>
      </c>
      <c r="E16" s="180" t="str">
        <f>UPPER(RIGHT([1]!GetExtension(A16),LEN([1]!GetExtension(A16))-1))</f>
        <v>CS</v>
      </c>
      <c r="F16" s="180" t="s">
        <v>409</v>
      </c>
      <c r="G16" s="181">
        <f>[1]!dtmFileDateInfo(A16)</f>
        <v>41841.537870370368</v>
      </c>
      <c r="H16" s="182">
        <f>[1]!lngFileSize(A16)</f>
        <v>65600</v>
      </c>
      <c r="I16" s="180" t="str">
        <f>[1]!GetFolder(A16)</f>
        <v>C:\Documents and Settings\DAG\My Documents\Visual Studio 2010\Projects\WizardWrx_Libs\SharedUtl4\SharedUtl4</v>
      </c>
    </row>
    <row r="17" spans="1:9" outlineLevel="2" x14ac:dyDescent="0.25">
      <c r="A17" s="179" t="s">
        <v>382</v>
      </c>
      <c r="B17" s="180">
        <v>301</v>
      </c>
      <c r="C17" s="183" t="s">
        <v>608</v>
      </c>
      <c r="D17" s="180" t="str">
        <f>[1]!GetFile(A17)</f>
        <v>ReportDetail.cs</v>
      </c>
      <c r="E17" s="180" t="str">
        <f>UPPER(RIGHT([1]!GetExtension(A17),LEN([1]!GetExtension(A17))-1))</f>
        <v>CS</v>
      </c>
      <c r="F17" s="180" t="s">
        <v>409</v>
      </c>
      <c r="G17" s="181">
        <f>[1]!dtmFileDateInfo(A17)</f>
        <v>41841.537870370368</v>
      </c>
      <c r="H17" s="182">
        <f>[1]!lngFileSize(A17)</f>
        <v>65600</v>
      </c>
      <c r="I17" s="180" t="str">
        <f>[1]!GetFolder(A17)</f>
        <v>C:\Documents and Settings\DAG\My Documents\Visual Studio 2010\Projects\WizardWrx_Libs\SharedUtl4\SharedUtl4</v>
      </c>
    </row>
    <row r="18" spans="1:9" ht="30" outlineLevel="2" x14ac:dyDescent="0.25">
      <c r="A18" s="179" t="s">
        <v>382</v>
      </c>
      <c r="B18" s="180">
        <v>302</v>
      </c>
      <c r="C18" s="183" t="s">
        <v>609</v>
      </c>
      <c r="D18" s="180" t="str">
        <f>[1]!GetFile(A18)</f>
        <v>ReportDetail.cs</v>
      </c>
      <c r="E18" s="180" t="str">
        <f>UPPER(RIGHT([1]!GetExtension(A18),LEN([1]!GetExtension(A18))-1))</f>
        <v>CS</v>
      </c>
      <c r="F18" s="180" t="s">
        <v>409</v>
      </c>
      <c r="G18" s="181">
        <f>[1]!dtmFileDateInfo(A18)</f>
        <v>41841.537870370368</v>
      </c>
      <c r="H18" s="182">
        <f>[1]!lngFileSize(A18)</f>
        <v>65600</v>
      </c>
      <c r="I18" s="180" t="str">
        <f>[1]!GetFolder(A18)</f>
        <v>C:\Documents and Settings\DAG\My Documents\Visual Studio 2010\Projects\WizardWrx_Libs\SharedUtl4\SharedUtl4</v>
      </c>
    </row>
    <row r="19" spans="1:9" outlineLevel="2" x14ac:dyDescent="0.25">
      <c r="A19" s="179" t="s">
        <v>382</v>
      </c>
      <c r="B19" s="180">
        <v>306</v>
      </c>
      <c r="C19" s="183" t="s">
        <v>610</v>
      </c>
      <c r="D19" s="180" t="str">
        <f>[1]!GetFile(A19)</f>
        <v>ReportDetail.cs</v>
      </c>
      <c r="E19" s="180" t="str">
        <f>UPPER(RIGHT([1]!GetExtension(A19),LEN([1]!GetExtension(A19))-1))</f>
        <v>CS</v>
      </c>
      <c r="F19" s="180" t="s">
        <v>409</v>
      </c>
      <c r="G19" s="181">
        <f>[1]!dtmFileDateInfo(A19)</f>
        <v>41841.537870370368</v>
      </c>
      <c r="H19" s="182">
        <f>[1]!lngFileSize(A19)</f>
        <v>65600</v>
      </c>
      <c r="I19" s="180" t="str">
        <f>[1]!GetFolder(A19)</f>
        <v>C:\Documents and Settings\DAG\My Documents\Visual Studio 2010\Projects\WizardWrx_Libs\SharedUtl4\SharedUtl4</v>
      </c>
    </row>
    <row r="20" spans="1:9" ht="30" outlineLevel="2" x14ac:dyDescent="0.25">
      <c r="A20" s="179" t="s">
        <v>382</v>
      </c>
      <c r="B20" s="180">
        <v>309</v>
      </c>
      <c r="C20" s="183" t="s">
        <v>611</v>
      </c>
      <c r="D20" s="180" t="str">
        <f>[1]!GetFile(A20)</f>
        <v>ReportDetail.cs</v>
      </c>
      <c r="E20" s="180" t="str">
        <f>UPPER(RIGHT([1]!GetExtension(A20),LEN([1]!GetExtension(A20))-1))</f>
        <v>CS</v>
      </c>
      <c r="F20" s="180" t="s">
        <v>409</v>
      </c>
      <c r="G20" s="181">
        <f>[1]!dtmFileDateInfo(A20)</f>
        <v>41841.537870370368</v>
      </c>
      <c r="H20" s="182">
        <f>[1]!lngFileSize(A20)</f>
        <v>65600</v>
      </c>
      <c r="I20" s="180" t="str">
        <f>[1]!GetFolder(A20)</f>
        <v>C:\Documents and Settings\DAG\My Documents\Visual Studio 2010\Projects\WizardWrx_Libs\SharedUtl4\SharedUtl4</v>
      </c>
    </row>
    <row r="21" spans="1:9" ht="30" outlineLevel="2" x14ac:dyDescent="0.25">
      <c r="A21" s="179" t="s">
        <v>382</v>
      </c>
      <c r="B21" s="180">
        <v>317</v>
      </c>
      <c r="C21" s="183" t="s">
        <v>612</v>
      </c>
      <c r="D21" s="180" t="str">
        <f>[1]!GetFile(A21)</f>
        <v>ReportDetail.cs</v>
      </c>
      <c r="E21" s="180" t="str">
        <f>UPPER(RIGHT([1]!GetExtension(A21),LEN([1]!GetExtension(A21))-1))</f>
        <v>CS</v>
      </c>
      <c r="F21" s="180" t="s">
        <v>409</v>
      </c>
      <c r="G21" s="181">
        <f>[1]!dtmFileDateInfo(A21)</f>
        <v>41841.537870370368</v>
      </c>
      <c r="H21" s="182">
        <f>[1]!lngFileSize(A21)</f>
        <v>65600</v>
      </c>
      <c r="I21" s="180" t="str">
        <f>[1]!GetFolder(A21)</f>
        <v>C:\Documents and Settings\DAG\My Documents\Visual Studio 2010\Projects\WizardWrx_Libs\SharedUtl4\SharedUtl4</v>
      </c>
    </row>
    <row r="22" spans="1:9" outlineLevel="2" x14ac:dyDescent="0.25">
      <c r="A22" s="179" t="s">
        <v>382</v>
      </c>
      <c r="B22" s="180">
        <v>323</v>
      </c>
      <c r="C22" s="183" t="s">
        <v>608</v>
      </c>
      <c r="D22" s="180" t="str">
        <f>[1]!GetFile(A22)</f>
        <v>ReportDetail.cs</v>
      </c>
      <c r="E22" s="180" t="str">
        <f>UPPER(RIGHT([1]!GetExtension(A22),LEN([1]!GetExtension(A22))-1))</f>
        <v>CS</v>
      </c>
      <c r="F22" s="180" t="s">
        <v>409</v>
      </c>
      <c r="G22" s="181">
        <f>[1]!dtmFileDateInfo(A22)</f>
        <v>41841.537870370368</v>
      </c>
      <c r="H22" s="182">
        <f>[1]!lngFileSize(A22)</f>
        <v>65600</v>
      </c>
      <c r="I22" s="180" t="str">
        <f>[1]!GetFolder(A22)</f>
        <v>C:\Documents and Settings\DAG\My Documents\Visual Studio 2010\Projects\WizardWrx_Libs\SharedUtl4\SharedUtl4</v>
      </c>
    </row>
    <row r="23" spans="1:9" ht="30" outlineLevel="2" x14ac:dyDescent="0.25">
      <c r="A23" s="179" t="s">
        <v>382</v>
      </c>
      <c r="B23" s="180">
        <v>324</v>
      </c>
      <c r="C23" s="183" t="s">
        <v>609</v>
      </c>
      <c r="D23" s="180" t="str">
        <f>[1]!GetFile(A23)</f>
        <v>ReportDetail.cs</v>
      </c>
      <c r="E23" s="180" t="str">
        <f>UPPER(RIGHT([1]!GetExtension(A23),LEN([1]!GetExtension(A23))-1))</f>
        <v>CS</v>
      </c>
      <c r="F23" s="180" t="s">
        <v>409</v>
      </c>
      <c r="G23" s="181">
        <f>[1]!dtmFileDateInfo(A23)</f>
        <v>41841.537870370368</v>
      </c>
      <c r="H23" s="182">
        <f>[1]!lngFileSize(A23)</f>
        <v>65600</v>
      </c>
      <c r="I23" s="180" t="str">
        <f>[1]!GetFolder(A23)</f>
        <v>C:\Documents and Settings\DAG\My Documents\Visual Studio 2010\Projects\WizardWrx_Libs\SharedUtl4\SharedUtl4</v>
      </c>
    </row>
    <row r="24" spans="1:9" outlineLevel="2" x14ac:dyDescent="0.25">
      <c r="A24" s="179" t="s">
        <v>382</v>
      </c>
      <c r="B24" s="180">
        <v>331</v>
      </c>
      <c r="C24" s="183" t="s">
        <v>613</v>
      </c>
      <c r="D24" s="180" t="str">
        <f>[1]!GetFile(A24)</f>
        <v>ReportDetail.cs</v>
      </c>
      <c r="E24" s="180" t="str">
        <f>UPPER(RIGHT([1]!GetExtension(A24),LEN([1]!GetExtension(A24))-1))</f>
        <v>CS</v>
      </c>
      <c r="F24" s="180" t="s">
        <v>409</v>
      </c>
      <c r="G24" s="181">
        <f>[1]!dtmFileDateInfo(A24)</f>
        <v>41841.537870370368</v>
      </c>
      <c r="H24" s="182">
        <f>[1]!lngFileSize(A24)</f>
        <v>65600</v>
      </c>
      <c r="I24" s="180" t="str">
        <f>[1]!GetFolder(A24)</f>
        <v>C:\Documents and Settings\DAG\My Documents\Visual Studio 2010\Projects\WizardWrx_Libs\SharedUtl4\SharedUtl4</v>
      </c>
    </row>
    <row r="25" spans="1:9" ht="30" outlineLevel="2" x14ac:dyDescent="0.25">
      <c r="A25" s="179" t="s">
        <v>382</v>
      </c>
      <c r="B25" s="180">
        <v>335</v>
      </c>
      <c r="C25" s="183" t="s">
        <v>611</v>
      </c>
      <c r="D25" s="180" t="str">
        <f>[1]!GetFile(A25)</f>
        <v>ReportDetail.cs</v>
      </c>
      <c r="E25" s="180" t="str">
        <f>UPPER(RIGHT([1]!GetExtension(A25),LEN([1]!GetExtension(A25))-1))</f>
        <v>CS</v>
      </c>
      <c r="F25" s="180" t="s">
        <v>409</v>
      </c>
      <c r="G25" s="181">
        <f>[1]!dtmFileDateInfo(A25)</f>
        <v>41841.537870370368</v>
      </c>
      <c r="H25" s="182">
        <f>[1]!lngFileSize(A25)</f>
        <v>65600</v>
      </c>
      <c r="I25" s="180" t="str">
        <f>[1]!GetFolder(A25)</f>
        <v>C:\Documents and Settings\DAG\My Documents\Visual Studio 2010\Projects\WizardWrx_Libs\SharedUtl4\SharedUtl4</v>
      </c>
    </row>
    <row r="26" spans="1:9" ht="30" outlineLevel="2" x14ac:dyDescent="0.25">
      <c r="A26" s="179" t="s">
        <v>382</v>
      </c>
      <c r="B26" s="180">
        <v>344</v>
      </c>
      <c r="C26" s="183" t="s">
        <v>614</v>
      </c>
      <c r="D26" s="180" t="str">
        <f>[1]!GetFile(A26)</f>
        <v>ReportDetail.cs</v>
      </c>
      <c r="E26" s="180" t="str">
        <f>UPPER(RIGHT([1]!GetExtension(A26),LEN([1]!GetExtension(A26))-1))</f>
        <v>CS</v>
      </c>
      <c r="F26" s="180" t="s">
        <v>409</v>
      </c>
      <c r="G26" s="181">
        <f>[1]!dtmFileDateInfo(A26)</f>
        <v>41841.537870370368</v>
      </c>
      <c r="H26" s="182">
        <f>[1]!lngFileSize(A26)</f>
        <v>65600</v>
      </c>
      <c r="I26" s="180" t="str">
        <f>[1]!GetFolder(A26)</f>
        <v>C:\Documents and Settings\DAG\My Documents\Visual Studio 2010\Projects\WizardWrx_Libs\SharedUtl4\SharedUtl4</v>
      </c>
    </row>
    <row r="27" spans="1:9" outlineLevel="2" x14ac:dyDescent="0.25">
      <c r="A27" s="179" t="s">
        <v>382</v>
      </c>
      <c r="B27" s="180">
        <v>350</v>
      </c>
      <c r="C27" s="183" t="s">
        <v>608</v>
      </c>
      <c r="D27" s="180" t="str">
        <f>[1]!GetFile(A27)</f>
        <v>ReportDetail.cs</v>
      </c>
      <c r="E27" s="180" t="str">
        <f>UPPER(RIGHT([1]!GetExtension(A27),LEN([1]!GetExtension(A27))-1))</f>
        <v>CS</v>
      </c>
      <c r="F27" s="180" t="s">
        <v>409</v>
      </c>
      <c r="G27" s="181">
        <f>[1]!dtmFileDateInfo(A27)</f>
        <v>41841.537870370368</v>
      </c>
      <c r="H27" s="182">
        <f>[1]!lngFileSize(A27)</f>
        <v>65600</v>
      </c>
      <c r="I27" s="180" t="str">
        <f>[1]!GetFolder(A27)</f>
        <v>C:\Documents and Settings\DAG\My Documents\Visual Studio 2010\Projects\WizardWrx_Libs\SharedUtl4\SharedUtl4</v>
      </c>
    </row>
    <row r="28" spans="1:9" ht="30" outlineLevel="2" x14ac:dyDescent="0.25">
      <c r="A28" s="179" t="s">
        <v>382</v>
      </c>
      <c r="B28" s="180">
        <v>351</v>
      </c>
      <c r="C28" s="183" t="s">
        <v>609</v>
      </c>
      <c r="D28" s="180" t="str">
        <f>[1]!GetFile(A28)</f>
        <v>ReportDetail.cs</v>
      </c>
      <c r="E28" s="180" t="str">
        <f>UPPER(RIGHT([1]!GetExtension(A28),LEN([1]!GetExtension(A28))-1))</f>
        <v>CS</v>
      </c>
      <c r="F28" s="180" t="s">
        <v>409</v>
      </c>
      <c r="G28" s="181">
        <f>[1]!dtmFileDateInfo(A28)</f>
        <v>41841.537870370368</v>
      </c>
      <c r="H28" s="182">
        <f>[1]!lngFileSize(A28)</f>
        <v>65600</v>
      </c>
      <c r="I28" s="180" t="str">
        <f>[1]!GetFolder(A28)</f>
        <v>C:\Documents and Settings\DAG\My Documents\Visual Studio 2010\Projects\WizardWrx_Libs\SharedUtl4\SharedUtl4</v>
      </c>
    </row>
    <row r="29" spans="1:9" outlineLevel="2" x14ac:dyDescent="0.25">
      <c r="A29" s="179" t="s">
        <v>382</v>
      </c>
      <c r="B29" s="180">
        <v>361</v>
      </c>
      <c r="C29" s="183" t="s">
        <v>613</v>
      </c>
      <c r="D29" s="180" t="str">
        <f>[1]!GetFile(A29)</f>
        <v>ReportDetail.cs</v>
      </c>
      <c r="E29" s="180" t="str">
        <f>UPPER(RIGHT([1]!GetExtension(A29),LEN([1]!GetExtension(A29))-1))</f>
        <v>CS</v>
      </c>
      <c r="F29" s="180" t="s">
        <v>409</v>
      </c>
      <c r="G29" s="181">
        <f>[1]!dtmFileDateInfo(A29)</f>
        <v>41841.537870370368</v>
      </c>
      <c r="H29" s="182">
        <f>[1]!lngFileSize(A29)</f>
        <v>65600</v>
      </c>
      <c r="I29" s="180" t="str">
        <f>[1]!GetFolder(A29)</f>
        <v>C:\Documents and Settings\DAG\My Documents\Visual Studio 2010\Projects\WizardWrx_Libs\SharedUtl4\SharedUtl4</v>
      </c>
    </row>
    <row r="30" spans="1:9" ht="30" outlineLevel="2" x14ac:dyDescent="0.25">
      <c r="A30" s="179" t="s">
        <v>382</v>
      </c>
      <c r="B30" s="180">
        <v>366</v>
      </c>
      <c r="C30" s="183" t="s">
        <v>611</v>
      </c>
      <c r="D30" s="180" t="str">
        <f>[1]!GetFile(A30)</f>
        <v>ReportDetail.cs</v>
      </c>
      <c r="E30" s="180" t="str">
        <f>UPPER(RIGHT([1]!GetExtension(A30),LEN([1]!GetExtension(A30))-1))</f>
        <v>CS</v>
      </c>
      <c r="F30" s="180" t="s">
        <v>409</v>
      </c>
      <c r="G30" s="181">
        <f>[1]!dtmFileDateInfo(A30)</f>
        <v>41841.537870370368</v>
      </c>
      <c r="H30" s="182">
        <f>[1]!lngFileSize(A30)</f>
        <v>65600</v>
      </c>
      <c r="I30" s="180" t="str">
        <f>[1]!GetFolder(A30)</f>
        <v>C:\Documents and Settings\DAG\My Documents\Visual Studio 2010\Projects\WizardWrx_Libs\SharedUtl4\SharedUtl4</v>
      </c>
    </row>
    <row r="31" spans="1:9" outlineLevel="2" x14ac:dyDescent="0.25">
      <c r="A31" s="179" t="s">
        <v>382</v>
      </c>
      <c r="B31" s="180">
        <v>405</v>
      </c>
      <c r="C31" s="183" t="s">
        <v>608</v>
      </c>
      <c r="D31" s="180" t="str">
        <f>[1]!GetFile(A31)</f>
        <v>ReportDetail.cs</v>
      </c>
      <c r="E31" s="180" t="str">
        <f>UPPER(RIGHT([1]!GetExtension(A31),LEN([1]!GetExtension(A31))-1))</f>
        <v>CS</v>
      </c>
      <c r="F31" s="180" t="s">
        <v>409</v>
      </c>
      <c r="G31" s="181">
        <f>[1]!dtmFileDateInfo(A31)</f>
        <v>41841.537870370368</v>
      </c>
      <c r="H31" s="182">
        <f>[1]!lngFileSize(A31)</f>
        <v>65600</v>
      </c>
      <c r="I31" s="180" t="str">
        <f>[1]!GetFolder(A31)</f>
        <v>C:\Documents and Settings\DAG\My Documents\Visual Studio 2010\Projects\WizardWrx_Libs\SharedUtl4\SharedUtl4</v>
      </c>
    </row>
    <row r="32" spans="1:9" ht="30" outlineLevel="2" x14ac:dyDescent="0.25">
      <c r="A32" s="179" t="s">
        <v>382</v>
      </c>
      <c r="B32" s="180">
        <v>406</v>
      </c>
      <c r="C32" s="183" t="s">
        <v>609</v>
      </c>
      <c r="D32" s="180" t="str">
        <f>[1]!GetFile(A32)</f>
        <v>ReportDetail.cs</v>
      </c>
      <c r="E32" s="180" t="str">
        <f>UPPER(RIGHT([1]!GetExtension(A32),LEN([1]!GetExtension(A32))-1))</f>
        <v>CS</v>
      </c>
      <c r="F32" s="180" t="s">
        <v>409</v>
      </c>
      <c r="G32" s="181">
        <f>[1]!dtmFileDateInfo(A32)</f>
        <v>41841.537870370368</v>
      </c>
      <c r="H32" s="182">
        <f>[1]!lngFileSize(A32)</f>
        <v>65600</v>
      </c>
      <c r="I32" s="180" t="str">
        <f>[1]!GetFolder(A32)</f>
        <v>C:\Documents and Settings\DAG\My Documents\Visual Studio 2010\Projects\WizardWrx_Libs\SharedUtl4\SharedUtl4</v>
      </c>
    </row>
    <row r="33" spans="1:9" outlineLevel="2" x14ac:dyDescent="0.25">
      <c r="A33" s="179" t="s">
        <v>382</v>
      </c>
      <c r="B33" s="180">
        <v>411</v>
      </c>
      <c r="C33" s="183" t="s">
        <v>610</v>
      </c>
      <c r="D33" s="180" t="str">
        <f>[1]!GetFile(A33)</f>
        <v>ReportDetail.cs</v>
      </c>
      <c r="E33" s="180" t="str">
        <f>UPPER(RIGHT([1]!GetExtension(A33),LEN([1]!GetExtension(A33))-1))</f>
        <v>CS</v>
      </c>
      <c r="F33" s="180" t="s">
        <v>409</v>
      </c>
      <c r="G33" s="181">
        <f>[1]!dtmFileDateInfo(A33)</f>
        <v>41841.537870370368</v>
      </c>
      <c r="H33" s="182">
        <f>[1]!lngFileSize(A33)</f>
        <v>65600</v>
      </c>
      <c r="I33" s="180" t="str">
        <f>[1]!GetFolder(A33)</f>
        <v>C:\Documents and Settings\DAG\My Documents\Visual Studio 2010\Projects\WizardWrx_Libs\SharedUtl4\SharedUtl4</v>
      </c>
    </row>
    <row r="34" spans="1:9" ht="30" outlineLevel="2" x14ac:dyDescent="0.25">
      <c r="A34" s="179" t="s">
        <v>382</v>
      </c>
      <c r="B34" s="180">
        <v>415</v>
      </c>
      <c r="C34" s="183" t="s">
        <v>611</v>
      </c>
      <c r="D34" s="180" t="str">
        <f>[1]!GetFile(A34)</f>
        <v>ReportDetail.cs</v>
      </c>
      <c r="E34" s="180" t="str">
        <f>UPPER(RIGHT([1]!GetExtension(A34),LEN([1]!GetExtension(A34))-1))</f>
        <v>CS</v>
      </c>
      <c r="F34" s="180" t="s">
        <v>409</v>
      </c>
      <c r="G34" s="181">
        <f>[1]!dtmFileDateInfo(A34)</f>
        <v>41841.537870370368</v>
      </c>
      <c r="H34" s="182">
        <f>[1]!lngFileSize(A34)</f>
        <v>65600</v>
      </c>
      <c r="I34" s="180" t="str">
        <f>[1]!GetFolder(A34)</f>
        <v>C:\Documents and Settings\DAG\My Documents\Visual Studio 2010\Projects\WizardWrx_Libs\SharedUtl4\SharedUtl4</v>
      </c>
    </row>
    <row r="35" spans="1:9" ht="30" outlineLevel="2" x14ac:dyDescent="0.25">
      <c r="A35" s="179" t="s">
        <v>382</v>
      </c>
      <c r="B35" s="180">
        <v>423</v>
      </c>
      <c r="C35" s="183" t="s">
        <v>615</v>
      </c>
      <c r="D35" s="180" t="str">
        <f>[1]!GetFile(A35)</f>
        <v>ReportDetail.cs</v>
      </c>
      <c r="E35" s="180" t="str">
        <f>UPPER(RIGHT([1]!GetExtension(A35),LEN([1]!GetExtension(A35))-1))</f>
        <v>CS</v>
      </c>
      <c r="F35" s="180" t="s">
        <v>409</v>
      </c>
      <c r="G35" s="181">
        <f>[1]!dtmFileDateInfo(A35)</f>
        <v>41841.537870370368</v>
      </c>
      <c r="H35" s="182">
        <f>[1]!lngFileSize(A35)</f>
        <v>65600</v>
      </c>
      <c r="I35" s="180" t="str">
        <f>[1]!GetFolder(A35)</f>
        <v>C:\Documents and Settings\DAG\My Documents\Visual Studio 2010\Projects\WizardWrx_Libs\SharedUtl4\SharedUtl4</v>
      </c>
    </row>
    <row r="36" spans="1:9" outlineLevel="2" x14ac:dyDescent="0.25">
      <c r="A36" s="179" t="s">
        <v>382</v>
      </c>
      <c r="B36" s="180">
        <v>432</v>
      </c>
      <c r="C36" s="183" t="s">
        <v>608</v>
      </c>
      <c r="D36" s="180" t="str">
        <f>[1]!GetFile(A36)</f>
        <v>ReportDetail.cs</v>
      </c>
      <c r="E36" s="180" t="str">
        <f>UPPER(RIGHT([1]!GetExtension(A36),LEN([1]!GetExtension(A36))-1))</f>
        <v>CS</v>
      </c>
      <c r="F36" s="180" t="s">
        <v>409</v>
      </c>
      <c r="G36" s="181">
        <f>[1]!dtmFileDateInfo(A36)</f>
        <v>41841.537870370368</v>
      </c>
      <c r="H36" s="182">
        <f>[1]!lngFileSize(A36)</f>
        <v>65600</v>
      </c>
      <c r="I36" s="180" t="str">
        <f>[1]!GetFolder(A36)</f>
        <v>C:\Documents and Settings\DAG\My Documents\Visual Studio 2010\Projects\WizardWrx_Libs\SharedUtl4\SharedUtl4</v>
      </c>
    </row>
    <row r="37" spans="1:9" ht="30" outlineLevel="2" x14ac:dyDescent="0.25">
      <c r="A37" s="179" t="s">
        <v>382</v>
      </c>
      <c r="B37" s="180">
        <v>433</v>
      </c>
      <c r="C37" s="183" t="s">
        <v>609</v>
      </c>
      <c r="D37" s="180" t="str">
        <f>[1]!GetFile(A37)</f>
        <v>ReportDetail.cs</v>
      </c>
      <c r="E37" s="180" t="str">
        <f>UPPER(RIGHT([1]!GetExtension(A37),LEN([1]!GetExtension(A37))-1))</f>
        <v>CS</v>
      </c>
      <c r="F37" s="180" t="s">
        <v>409</v>
      </c>
      <c r="G37" s="181">
        <f>[1]!dtmFileDateInfo(A37)</f>
        <v>41841.537870370368</v>
      </c>
      <c r="H37" s="182">
        <f>[1]!lngFileSize(A37)</f>
        <v>65600</v>
      </c>
      <c r="I37" s="180" t="str">
        <f>[1]!GetFolder(A37)</f>
        <v>C:\Documents and Settings\DAG\My Documents\Visual Studio 2010\Projects\WizardWrx_Libs\SharedUtl4\SharedUtl4</v>
      </c>
    </row>
    <row r="38" spans="1:9" outlineLevel="2" x14ac:dyDescent="0.25">
      <c r="A38" s="179" t="s">
        <v>382</v>
      </c>
      <c r="B38" s="180">
        <v>441</v>
      </c>
      <c r="C38" s="183" t="s">
        <v>613</v>
      </c>
      <c r="D38" s="180" t="str">
        <f>[1]!GetFile(A38)</f>
        <v>ReportDetail.cs</v>
      </c>
      <c r="E38" s="180" t="str">
        <f>UPPER(RIGHT([1]!GetExtension(A38),LEN([1]!GetExtension(A38))-1))</f>
        <v>CS</v>
      </c>
      <c r="F38" s="180" t="s">
        <v>409</v>
      </c>
      <c r="G38" s="181">
        <f>[1]!dtmFileDateInfo(A38)</f>
        <v>41841.537870370368</v>
      </c>
      <c r="H38" s="182">
        <f>[1]!lngFileSize(A38)</f>
        <v>65600</v>
      </c>
      <c r="I38" s="180" t="str">
        <f>[1]!GetFolder(A38)</f>
        <v>C:\Documents and Settings\DAG\My Documents\Visual Studio 2010\Projects\WizardWrx_Libs\SharedUtl4\SharedUtl4</v>
      </c>
    </row>
    <row r="39" spans="1:9" ht="30" outlineLevel="2" x14ac:dyDescent="0.25">
      <c r="A39" s="179" t="s">
        <v>382</v>
      </c>
      <c r="B39" s="180">
        <v>446</v>
      </c>
      <c r="C39" s="183" t="s">
        <v>611</v>
      </c>
      <c r="D39" s="180" t="str">
        <f>[1]!GetFile(A39)</f>
        <v>ReportDetail.cs</v>
      </c>
      <c r="E39" s="180" t="str">
        <f>UPPER(RIGHT([1]!GetExtension(A39),LEN([1]!GetExtension(A39))-1))</f>
        <v>CS</v>
      </c>
      <c r="F39" s="180" t="s">
        <v>409</v>
      </c>
      <c r="G39" s="181">
        <f>[1]!dtmFileDateInfo(A39)</f>
        <v>41841.537870370368</v>
      </c>
      <c r="H39" s="182">
        <f>[1]!lngFileSize(A39)</f>
        <v>65600</v>
      </c>
      <c r="I39" s="180" t="str">
        <f>[1]!GetFolder(A39)</f>
        <v>C:\Documents and Settings\DAG\My Documents\Visual Studio 2010\Projects\WizardWrx_Libs\SharedUtl4\SharedUtl4</v>
      </c>
    </row>
    <row r="40" spans="1:9" ht="30" outlineLevel="2" x14ac:dyDescent="0.25">
      <c r="A40" s="179" t="s">
        <v>382</v>
      </c>
      <c r="B40" s="180">
        <v>455</v>
      </c>
      <c r="C40" s="183" t="s">
        <v>616</v>
      </c>
      <c r="D40" s="180" t="str">
        <f>[1]!GetFile(A40)</f>
        <v>ReportDetail.cs</v>
      </c>
      <c r="E40" s="180" t="str">
        <f>UPPER(RIGHT([1]!GetExtension(A40),LEN([1]!GetExtension(A40))-1))</f>
        <v>CS</v>
      </c>
      <c r="F40" s="180" t="s">
        <v>409</v>
      </c>
      <c r="G40" s="181">
        <f>[1]!dtmFileDateInfo(A40)</f>
        <v>41841.537870370368</v>
      </c>
      <c r="H40" s="182">
        <f>[1]!lngFileSize(A40)</f>
        <v>65600</v>
      </c>
      <c r="I40" s="180" t="str">
        <f>[1]!GetFolder(A40)</f>
        <v>C:\Documents and Settings\DAG\My Documents\Visual Studio 2010\Projects\WizardWrx_Libs\SharedUtl4\SharedUtl4</v>
      </c>
    </row>
    <row r="41" spans="1:9" outlineLevel="2" x14ac:dyDescent="0.25">
      <c r="A41" s="179" t="s">
        <v>382</v>
      </c>
      <c r="B41" s="180">
        <v>464</v>
      </c>
      <c r="C41" s="183" t="s">
        <v>608</v>
      </c>
      <c r="D41" s="180" t="str">
        <f>[1]!GetFile(A41)</f>
        <v>ReportDetail.cs</v>
      </c>
      <c r="E41" s="180" t="str">
        <f>UPPER(RIGHT([1]!GetExtension(A41),LEN([1]!GetExtension(A41))-1))</f>
        <v>CS</v>
      </c>
      <c r="F41" s="180" t="s">
        <v>409</v>
      </c>
      <c r="G41" s="181">
        <f>[1]!dtmFileDateInfo(A41)</f>
        <v>41841.537870370368</v>
      </c>
      <c r="H41" s="182">
        <f>[1]!lngFileSize(A41)</f>
        <v>65600</v>
      </c>
      <c r="I41" s="180" t="str">
        <f>[1]!GetFolder(A41)</f>
        <v>C:\Documents and Settings\DAG\My Documents\Visual Studio 2010\Projects\WizardWrx_Libs\SharedUtl4\SharedUtl4</v>
      </c>
    </row>
    <row r="42" spans="1:9" ht="30" outlineLevel="2" x14ac:dyDescent="0.25">
      <c r="A42" s="179" t="s">
        <v>382</v>
      </c>
      <c r="B42" s="180">
        <v>465</v>
      </c>
      <c r="C42" s="183" t="s">
        <v>609</v>
      </c>
      <c r="D42" s="180" t="str">
        <f>[1]!GetFile(A42)</f>
        <v>ReportDetail.cs</v>
      </c>
      <c r="E42" s="180" t="str">
        <f>UPPER(RIGHT([1]!GetExtension(A42),LEN([1]!GetExtension(A42))-1))</f>
        <v>CS</v>
      </c>
      <c r="F42" s="180" t="s">
        <v>409</v>
      </c>
      <c r="G42" s="181">
        <f>[1]!dtmFileDateInfo(A42)</f>
        <v>41841.537870370368</v>
      </c>
      <c r="H42" s="182">
        <f>[1]!lngFileSize(A42)</f>
        <v>65600</v>
      </c>
      <c r="I42" s="180" t="str">
        <f>[1]!GetFolder(A42)</f>
        <v>C:\Documents and Settings\DAG\My Documents\Visual Studio 2010\Projects\WizardWrx_Libs\SharedUtl4\SharedUtl4</v>
      </c>
    </row>
    <row r="43" spans="1:9" outlineLevel="2" x14ac:dyDescent="0.25">
      <c r="A43" s="179" t="s">
        <v>382</v>
      </c>
      <c r="B43" s="180">
        <v>476</v>
      </c>
      <c r="C43" s="183" t="s">
        <v>613</v>
      </c>
      <c r="D43" s="180" t="str">
        <f>[1]!GetFile(A43)</f>
        <v>ReportDetail.cs</v>
      </c>
      <c r="E43" s="180" t="str">
        <f>UPPER(RIGHT([1]!GetExtension(A43),LEN([1]!GetExtension(A43))-1))</f>
        <v>CS</v>
      </c>
      <c r="F43" s="180" t="s">
        <v>409</v>
      </c>
      <c r="G43" s="181">
        <f>[1]!dtmFileDateInfo(A43)</f>
        <v>41841.537870370368</v>
      </c>
      <c r="H43" s="182">
        <f>[1]!lngFileSize(A43)</f>
        <v>65600</v>
      </c>
      <c r="I43" s="180" t="str">
        <f>[1]!GetFolder(A43)</f>
        <v>C:\Documents and Settings\DAG\My Documents\Visual Studio 2010\Projects\WizardWrx_Libs\SharedUtl4\SharedUtl4</v>
      </c>
    </row>
    <row r="44" spans="1:9" ht="30" outlineLevel="2" x14ac:dyDescent="0.25">
      <c r="A44" s="179" t="s">
        <v>382</v>
      </c>
      <c r="B44" s="180">
        <v>482</v>
      </c>
      <c r="C44" s="183" t="s">
        <v>611</v>
      </c>
      <c r="D44" s="180" t="str">
        <f>[1]!GetFile(A44)</f>
        <v>ReportDetail.cs</v>
      </c>
      <c r="E44" s="180" t="str">
        <f>UPPER(RIGHT([1]!GetExtension(A44),LEN([1]!GetExtension(A44))-1))</f>
        <v>CS</v>
      </c>
      <c r="F44" s="180" t="s">
        <v>409</v>
      </c>
      <c r="G44" s="181">
        <f>[1]!dtmFileDateInfo(A44)</f>
        <v>41841.537870370368</v>
      </c>
      <c r="H44" s="182">
        <f>[1]!lngFileSize(A44)</f>
        <v>65600</v>
      </c>
      <c r="I44" s="180" t="str">
        <f>[1]!GetFolder(A44)</f>
        <v>C:\Documents and Settings\DAG\My Documents\Visual Studio 2010\Projects\WizardWrx_Libs\SharedUtl4\SharedUtl4</v>
      </c>
    </row>
    <row r="45" spans="1:9" outlineLevel="2" x14ac:dyDescent="0.25">
      <c r="A45" s="179" t="s">
        <v>382</v>
      </c>
      <c r="B45" s="180">
        <v>520</v>
      </c>
      <c r="C45" s="183" t="s">
        <v>608</v>
      </c>
      <c r="D45" s="180" t="str">
        <f>[1]!GetFile(A45)</f>
        <v>ReportDetail.cs</v>
      </c>
      <c r="E45" s="180" t="str">
        <f>UPPER(RIGHT([1]!GetExtension(A45),LEN([1]!GetExtension(A45))-1))</f>
        <v>CS</v>
      </c>
      <c r="F45" s="180" t="s">
        <v>409</v>
      </c>
      <c r="G45" s="181">
        <f>[1]!dtmFileDateInfo(A45)</f>
        <v>41841.537870370368</v>
      </c>
      <c r="H45" s="182">
        <f>[1]!lngFileSize(A45)</f>
        <v>65600</v>
      </c>
      <c r="I45" s="180" t="str">
        <f>[1]!GetFolder(A45)</f>
        <v>C:\Documents and Settings\DAG\My Documents\Visual Studio 2010\Projects\WizardWrx_Libs\SharedUtl4\SharedUtl4</v>
      </c>
    </row>
    <row r="46" spans="1:9" ht="30" outlineLevel="2" x14ac:dyDescent="0.25">
      <c r="A46" s="179" t="s">
        <v>382</v>
      </c>
      <c r="B46" s="180">
        <v>521</v>
      </c>
      <c r="C46" s="183" t="s">
        <v>609</v>
      </c>
      <c r="D46" s="180" t="str">
        <f>[1]!GetFile(A46)</f>
        <v>ReportDetail.cs</v>
      </c>
      <c r="E46" s="180" t="str">
        <f>UPPER(RIGHT([1]!GetExtension(A46),LEN([1]!GetExtension(A46))-1))</f>
        <v>CS</v>
      </c>
      <c r="F46" s="180" t="s">
        <v>409</v>
      </c>
      <c r="G46" s="181">
        <f>[1]!dtmFileDateInfo(A46)</f>
        <v>41841.537870370368</v>
      </c>
      <c r="H46" s="182">
        <f>[1]!lngFileSize(A46)</f>
        <v>65600</v>
      </c>
      <c r="I46" s="180" t="str">
        <f>[1]!GetFolder(A46)</f>
        <v>C:\Documents and Settings\DAG\My Documents\Visual Studio 2010\Projects\WizardWrx_Libs\SharedUtl4\SharedUtl4</v>
      </c>
    </row>
    <row r="47" spans="1:9" outlineLevel="2" x14ac:dyDescent="0.25">
      <c r="A47" s="179" t="s">
        <v>382</v>
      </c>
      <c r="B47" s="180">
        <v>526</v>
      </c>
      <c r="C47" s="183" t="s">
        <v>610</v>
      </c>
      <c r="D47" s="180" t="str">
        <f>[1]!GetFile(A47)</f>
        <v>ReportDetail.cs</v>
      </c>
      <c r="E47" s="180" t="str">
        <f>UPPER(RIGHT([1]!GetExtension(A47),LEN([1]!GetExtension(A47))-1))</f>
        <v>CS</v>
      </c>
      <c r="F47" s="180" t="s">
        <v>409</v>
      </c>
      <c r="G47" s="181">
        <f>[1]!dtmFileDateInfo(A47)</f>
        <v>41841.537870370368</v>
      </c>
      <c r="H47" s="182">
        <f>[1]!lngFileSize(A47)</f>
        <v>65600</v>
      </c>
      <c r="I47" s="180" t="str">
        <f>[1]!GetFolder(A47)</f>
        <v>C:\Documents and Settings\DAG\My Documents\Visual Studio 2010\Projects\WizardWrx_Libs\SharedUtl4\SharedUtl4</v>
      </c>
    </row>
    <row r="48" spans="1:9" ht="30" outlineLevel="2" x14ac:dyDescent="0.25">
      <c r="A48" s="179" t="s">
        <v>382</v>
      </c>
      <c r="B48" s="180">
        <v>530</v>
      </c>
      <c r="C48" s="183" t="s">
        <v>611</v>
      </c>
      <c r="D48" s="180" t="str">
        <f>[1]!GetFile(A48)</f>
        <v>ReportDetail.cs</v>
      </c>
      <c r="E48" s="180" t="str">
        <f>UPPER(RIGHT([1]!GetExtension(A48),LEN([1]!GetExtension(A48))-1))</f>
        <v>CS</v>
      </c>
      <c r="F48" s="180" t="s">
        <v>409</v>
      </c>
      <c r="G48" s="181">
        <f>[1]!dtmFileDateInfo(A48)</f>
        <v>41841.537870370368</v>
      </c>
      <c r="H48" s="182">
        <f>[1]!lngFileSize(A48)</f>
        <v>65600</v>
      </c>
      <c r="I48" s="180" t="str">
        <f>[1]!GetFolder(A48)</f>
        <v>C:\Documents and Settings\DAG\My Documents\Visual Studio 2010\Projects\WizardWrx_Libs\SharedUtl4\SharedUtl4</v>
      </c>
    </row>
    <row r="49" spans="1:9" ht="30" outlineLevel="2" x14ac:dyDescent="0.25">
      <c r="A49" s="179" t="s">
        <v>382</v>
      </c>
      <c r="B49" s="180">
        <v>539</v>
      </c>
      <c r="C49" s="183" t="s">
        <v>617</v>
      </c>
      <c r="D49" s="180" t="str">
        <f>[1]!GetFile(A49)</f>
        <v>ReportDetail.cs</v>
      </c>
      <c r="E49" s="180" t="str">
        <f>UPPER(RIGHT([1]!GetExtension(A49),LEN([1]!GetExtension(A49))-1))</f>
        <v>CS</v>
      </c>
      <c r="F49" s="180" t="s">
        <v>409</v>
      </c>
      <c r="G49" s="181">
        <f>[1]!dtmFileDateInfo(A49)</f>
        <v>41841.537870370368</v>
      </c>
      <c r="H49" s="182">
        <f>[1]!lngFileSize(A49)</f>
        <v>65600</v>
      </c>
      <c r="I49" s="180" t="str">
        <f>[1]!GetFolder(A49)</f>
        <v>C:\Documents and Settings\DAG\My Documents\Visual Studio 2010\Projects\WizardWrx_Libs\SharedUtl4\SharedUtl4</v>
      </c>
    </row>
    <row r="50" spans="1:9" outlineLevel="2" x14ac:dyDescent="0.25">
      <c r="A50" s="179" t="s">
        <v>382</v>
      </c>
      <c r="B50" s="180">
        <v>548</v>
      </c>
      <c r="C50" s="183" t="s">
        <v>608</v>
      </c>
      <c r="D50" s="180" t="str">
        <f>[1]!GetFile(A50)</f>
        <v>ReportDetail.cs</v>
      </c>
      <c r="E50" s="180" t="str">
        <f>UPPER(RIGHT([1]!GetExtension(A50),LEN([1]!GetExtension(A50))-1))</f>
        <v>CS</v>
      </c>
      <c r="F50" s="180" t="s">
        <v>409</v>
      </c>
      <c r="G50" s="181">
        <f>[1]!dtmFileDateInfo(A50)</f>
        <v>41841.537870370368</v>
      </c>
      <c r="H50" s="182">
        <f>[1]!lngFileSize(A50)</f>
        <v>65600</v>
      </c>
      <c r="I50" s="180" t="str">
        <f>[1]!GetFolder(A50)</f>
        <v>C:\Documents and Settings\DAG\My Documents\Visual Studio 2010\Projects\WizardWrx_Libs\SharedUtl4\SharedUtl4</v>
      </c>
    </row>
    <row r="51" spans="1:9" ht="30" outlineLevel="2" x14ac:dyDescent="0.25">
      <c r="A51" s="179" t="s">
        <v>382</v>
      </c>
      <c r="B51" s="180">
        <v>549</v>
      </c>
      <c r="C51" s="183" t="s">
        <v>609</v>
      </c>
      <c r="D51" s="180" t="str">
        <f>[1]!GetFile(A51)</f>
        <v>ReportDetail.cs</v>
      </c>
      <c r="E51" s="180" t="str">
        <f>UPPER(RIGHT([1]!GetExtension(A51),LEN([1]!GetExtension(A51))-1))</f>
        <v>CS</v>
      </c>
      <c r="F51" s="180" t="s">
        <v>409</v>
      </c>
      <c r="G51" s="181">
        <f>[1]!dtmFileDateInfo(A51)</f>
        <v>41841.537870370368</v>
      </c>
      <c r="H51" s="182">
        <f>[1]!lngFileSize(A51)</f>
        <v>65600</v>
      </c>
      <c r="I51" s="180" t="str">
        <f>[1]!GetFolder(A51)</f>
        <v>C:\Documents and Settings\DAG\My Documents\Visual Studio 2010\Projects\WizardWrx_Libs\SharedUtl4\SharedUtl4</v>
      </c>
    </row>
    <row r="52" spans="1:9" outlineLevel="2" x14ac:dyDescent="0.25">
      <c r="A52" s="179" t="s">
        <v>382</v>
      </c>
      <c r="B52" s="180">
        <v>557</v>
      </c>
      <c r="C52" s="183" t="s">
        <v>613</v>
      </c>
      <c r="D52" s="180" t="str">
        <f>[1]!GetFile(A52)</f>
        <v>ReportDetail.cs</v>
      </c>
      <c r="E52" s="180" t="str">
        <f>UPPER(RIGHT([1]!GetExtension(A52),LEN([1]!GetExtension(A52))-1))</f>
        <v>CS</v>
      </c>
      <c r="F52" s="180" t="s">
        <v>409</v>
      </c>
      <c r="G52" s="181">
        <f>[1]!dtmFileDateInfo(A52)</f>
        <v>41841.537870370368</v>
      </c>
      <c r="H52" s="182">
        <f>[1]!lngFileSize(A52)</f>
        <v>65600</v>
      </c>
      <c r="I52" s="180" t="str">
        <f>[1]!GetFolder(A52)</f>
        <v>C:\Documents and Settings\DAG\My Documents\Visual Studio 2010\Projects\WizardWrx_Libs\SharedUtl4\SharedUtl4</v>
      </c>
    </row>
    <row r="53" spans="1:9" ht="30" outlineLevel="2" x14ac:dyDescent="0.25">
      <c r="A53" s="179" t="s">
        <v>382</v>
      </c>
      <c r="B53" s="180">
        <v>562</v>
      </c>
      <c r="C53" s="183" t="s">
        <v>611</v>
      </c>
      <c r="D53" s="180" t="str">
        <f>[1]!GetFile(A53)</f>
        <v>ReportDetail.cs</v>
      </c>
      <c r="E53" s="180" t="str">
        <f>UPPER(RIGHT([1]!GetExtension(A53),LEN([1]!GetExtension(A53))-1))</f>
        <v>CS</v>
      </c>
      <c r="F53" s="180" t="s">
        <v>409</v>
      </c>
      <c r="G53" s="181">
        <f>[1]!dtmFileDateInfo(A53)</f>
        <v>41841.537870370368</v>
      </c>
      <c r="H53" s="182">
        <f>[1]!lngFileSize(A53)</f>
        <v>65600</v>
      </c>
      <c r="I53" s="180" t="str">
        <f>[1]!GetFolder(A53)</f>
        <v>C:\Documents and Settings\DAG\My Documents\Visual Studio 2010\Projects\WizardWrx_Libs\SharedUtl4\SharedUtl4</v>
      </c>
    </row>
    <row r="54" spans="1:9" ht="30" outlineLevel="2" x14ac:dyDescent="0.25">
      <c r="A54" s="179" t="s">
        <v>382</v>
      </c>
      <c r="B54" s="180">
        <v>572</v>
      </c>
      <c r="C54" s="183" t="s">
        <v>618</v>
      </c>
      <c r="D54" s="180" t="str">
        <f>[1]!GetFile(A54)</f>
        <v>ReportDetail.cs</v>
      </c>
      <c r="E54" s="180" t="str">
        <f>UPPER(RIGHT([1]!GetExtension(A54),LEN([1]!GetExtension(A54))-1))</f>
        <v>CS</v>
      </c>
      <c r="F54" s="180" t="s">
        <v>409</v>
      </c>
      <c r="G54" s="181">
        <f>[1]!dtmFileDateInfo(A54)</f>
        <v>41841.537870370368</v>
      </c>
      <c r="H54" s="182">
        <f>[1]!lngFileSize(A54)</f>
        <v>65600</v>
      </c>
      <c r="I54" s="180" t="str">
        <f>[1]!GetFolder(A54)</f>
        <v>C:\Documents and Settings\DAG\My Documents\Visual Studio 2010\Projects\WizardWrx_Libs\SharedUtl4\SharedUtl4</v>
      </c>
    </row>
    <row r="55" spans="1:9" outlineLevel="2" x14ac:dyDescent="0.25">
      <c r="A55" s="179" t="s">
        <v>382</v>
      </c>
      <c r="B55" s="180">
        <v>581</v>
      </c>
      <c r="C55" s="183" t="s">
        <v>608</v>
      </c>
      <c r="D55" s="180" t="str">
        <f>[1]!GetFile(A55)</f>
        <v>ReportDetail.cs</v>
      </c>
      <c r="E55" s="180" t="str">
        <f>UPPER(RIGHT([1]!GetExtension(A55),LEN([1]!GetExtension(A55))-1))</f>
        <v>CS</v>
      </c>
      <c r="F55" s="180" t="s">
        <v>409</v>
      </c>
      <c r="G55" s="181">
        <f>[1]!dtmFileDateInfo(A55)</f>
        <v>41841.537870370368</v>
      </c>
      <c r="H55" s="182">
        <f>[1]!lngFileSize(A55)</f>
        <v>65600</v>
      </c>
      <c r="I55" s="180" t="str">
        <f>[1]!GetFolder(A55)</f>
        <v>C:\Documents and Settings\DAG\My Documents\Visual Studio 2010\Projects\WizardWrx_Libs\SharedUtl4\SharedUtl4</v>
      </c>
    </row>
    <row r="56" spans="1:9" ht="30" outlineLevel="2" x14ac:dyDescent="0.25">
      <c r="A56" s="179" t="s">
        <v>382</v>
      </c>
      <c r="B56" s="180">
        <v>582</v>
      </c>
      <c r="C56" s="183" t="s">
        <v>609</v>
      </c>
      <c r="D56" s="180" t="str">
        <f>[1]!GetFile(A56)</f>
        <v>ReportDetail.cs</v>
      </c>
      <c r="E56" s="180" t="str">
        <f>UPPER(RIGHT([1]!GetExtension(A56),LEN([1]!GetExtension(A56))-1))</f>
        <v>CS</v>
      </c>
      <c r="F56" s="180" t="s">
        <v>409</v>
      </c>
      <c r="G56" s="181">
        <f>[1]!dtmFileDateInfo(A56)</f>
        <v>41841.537870370368</v>
      </c>
      <c r="H56" s="182">
        <f>[1]!lngFileSize(A56)</f>
        <v>65600</v>
      </c>
      <c r="I56" s="180" t="str">
        <f>[1]!GetFolder(A56)</f>
        <v>C:\Documents and Settings\DAG\My Documents\Visual Studio 2010\Projects\WizardWrx_Libs\SharedUtl4\SharedUtl4</v>
      </c>
    </row>
    <row r="57" spans="1:9" outlineLevel="2" x14ac:dyDescent="0.25">
      <c r="A57" s="179" t="s">
        <v>382</v>
      </c>
      <c r="B57" s="180">
        <v>593</v>
      </c>
      <c r="C57" s="183" t="s">
        <v>613</v>
      </c>
      <c r="D57" s="180" t="str">
        <f>[1]!GetFile(A57)</f>
        <v>ReportDetail.cs</v>
      </c>
      <c r="E57" s="180" t="str">
        <f>UPPER(RIGHT([1]!GetExtension(A57),LEN([1]!GetExtension(A57))-1))</f>
        <v>CS</v>
      </c>
      <c r="F57" s="180" t="s">
        <v>409</v>
      </c>
      <c r="G57" s="181">
        <f>[1]!dtmFileDateInfo(A57)</f>
        <v>41841.537870370368</v>
      </c>
      <c r="H57" s="182">
        <f>[1]!lngFileSize(A57)</f>
        <v>65600</v>
      </c>
      <c r="I57" s="180" t="str">
        <f>[1]!GetFolder(A57)</f>
        <v>C:\Documents and Settings\DAG\My Documents\Visual Studio 2010\Projects\WizardWrx_Libs\SharedUtl4\SharedUtl4</v>
      </c>
    </row>
    <row r="58" spans="1:9" ht="30" outlineLevel="2" x14ac:dyDescent="0.25">
      <c r="A58" s="179" t="s">
        <v>382</v>
      </c>
      <c r="B58" s="180">
        <v>599</v>
      </c>
      <c r="C58" s="183" t="s">
        <v>611</v>
      </c>
      <c r="D58" s="180" t="str">
        <f>[1]!GetFile(A58)</f>
        <v>ReportDetail.cs</v>
      </c>
      <c r="E58" s="180" t="str">
        <f>UPPER(RIGHT([1]!GetExtension(A58),LEN([1]!GetExtension(A58))-1))</f>
        <v>CS</v>
      </c>
      <c r="F58" s="180" t="s">
        <v>409</v>
      </c>
      <c r="G58" s="181">
        <f>[1]!dtmFileDateInfo(A58)</f>
        <v>41841.537870370368</v>
      </c>
      <c r="H58" s="182">
        <f>[1]!lngFileSize(A58)</f>
        <v>65600</v>
      </c>
      <c r="I58" s="180" t="str">
        <f>[1]!GetFolder(A58)</f>
        <v>C:\Documents and Settings\DAG\My Documents\Visual Studio 2010\Projects\WizardWrx_Libs\SharedUtl4\SharedUtl4</v>
      </c>
    </row>
    <row r="59" spans="1:9" ht="30" outlineLevel="2" x14ac:dyDescent="0.25">
      <c r="A59" s="179" t="s">
        <v>382</v>
      </c>
      <c r="B59" s="180">
        <v>635</v>
      </c>
      <c r="C59" s="183" t="s">
        <v>619</v>
      </c>
      <c r="D59" s="180" t="str">
        <f>[1]!GetFile(A59)</f>
        <v>ReportDetail.cs</v>
      </c>
      <c r="E59" s="180" t="str">
        <f>UPPER(RIGHT([1]!GetExtension(A59),LEN([1]!GetExtension(A59))-1))</f>
        <v>CS</v>
      </c>
      <c r="F59" s="180" t="s">
        <v>409</v>
      </c>
      <c r="G59" s="181">
        <f>[1]!dtmFileDateInfo(A59)</f>
        <v>41841.537870370368</v>
      </c>
      <c r="H59" s="182">
        <f>[1]!lngFileSize(A59)</f>
        <v>65600</v>
      </c>
      <c r="I59" s="180" t="str">
        <f>[1]!GetFolder(A59)</f>
        <v>C:\Documents and Settings\DAG\My Documents\Visual Studio 2010\Projects\WizardWrx_Libs\SharedUtl4\SharedUtl4</v>
      </c>
    </row>
    <row r="60" spans="1:9" outlineLevel="2" x14ac:dyDescent="0.25">
      <c r="A60" s="179" t="s">
        <v>382</v>
      </c>
      <c r="B60" s="180">
        <v>647</v>
      </c>
      <c r="C60" s="183" t="s">
        <v>608</v>
      </c>
      <c r="D60" s="180" t="str">
        <f>[1]!GetFile(A60)</f>
        <v>ReportDetail.cs</v>
      </c>
      <c r="E60" s="180" t="str">
        <f>UPPER(RIGHT([1]!GetExtension(A60),LEN([1]!GetExtension(A60))-1))</f>
        <v>CS</v>
      </c>
      <c r="F60" s="180" t="s">
        <v>409</v>
      </c>
      <c r="G60" s="181">
        <f>[1]!dtmFileDateInfo(A60)</f>
        <v>41841.537870370368</v>
      </c>
      <c r="H60" s="182">
        <f>[1]!lngFileSize(A60)</f>
        <v>65600</v>
      </c>
      <c r="I60" s="180" t="str">
        <f>[1]!GetFolder(A60)</f>
        <v>C:\Documents and Settings\DAG\My Documents\Visual Studio 2010\Projects\WizardWrx_Libs\SharedUtl4\SharedUtl4</v>
      </c>
    </row>
    <row r="61" spans="1:9" ht="30" outlineLevel="2" x14ac:dyDescent="0.25">
      <c r="A61" s="179" t="s">
        <v>382</v>
      </c>
      <c r="B61" s="180">
        <v>648</v>
      </c>
      <c r="C61" s="183" t="s">
        <v>609</v>
      </c>
      <c r="D61" s="180" t="str">
        <f>[1]!GetFile(A61)</f>
        <v>ReportDetail.cs</v>
      </c>
      <c r="E61" s="180" t="str">
        <f>UPPER(RIGHT([1]!GetExtension(A61),LEN([1]!GetExtension(A61))-1))</f>
        <v>CS</v>
      </c>
      <c r="F61" s="180" t="s">
        <v>409</v>
      </c>
      <c r="G61" s="181">
        <f>[1]!dtmFileDateInfo(A61)</f>
        <v>41841.537870370368</v>
      </c>
      <c r="H61" s="182">
        <f>[1]!lngFileSize(A61)</f>
        <v>65600</v>
      </c>
      <c r="I61" s="180" t="str">
        <f>[1]!GetFolder(A61)</f>
        <v>C:\Documents and Settings\DAG\My Documents\Visual Studio 2010\Projects\WizardWrx_Libs\SharedUtl4\SharedUtl4</v>
      </c>
    </row>
    <row r="62" spans="1:9" outlineLevel="2" x14ac:dyDescent="0.25">
      <c r="A62" s="179" t="s">
        <v>382</v>
      </c>
      <c r="B62" s="180">
        <v>654</v>
      </c>
      <c r="C62" s="183" t="s">
        <v>610</v>
      </c>
      <c r="D62" s="180" t="str">
        <f>[1]!GetFile(A62)</f>
        <v>ReportDetail.cs</v>
      </c>
      <c r="E62" s="180" t="str">
        <f>UPPER(RIGHT([1]!GetExtension(A62),LEN([1]!GetExtension(A62))-1))</f>
        <v>CS</v>
      </c>
      <c r="F62" s="180" t="s">
        <v>409</v>
      </c>
      <c r="G62" s="181">
        <f>[1]!dtmFileDateInfo(A62)</f>
        <v>41841.537870370368</v>
      </c>
      <c r="H62" s="182">
        <f>[1]!lngFileSize(A62)</f>
        <v>65600</v>
      </c>
      <c r="I62" s="180" t="str">
        <f>[1]!GetFolder(A62)</f>
        <v>C:\Documents and Settings\DAG\My Documents\Visual Studio 2010\Projects\WizardWrx_Libs\SharedUtl4\SharedUtl4</v>
      </c>
    </row>
    <row r="63" spans="1:9" ht="30" outlineLevel="2" x14ac:dyDescent="0.25">
      <c r="A63" s="179" t="s">
        <v>382</v>
      </c>
      <c r="B63" s="180">
        <v>659</v>
      </c>
      <c r="C63" s="183" t="s">
        <v>611</v>
      </c>
      <c r="D63" s="180" t="str">
        <f>[1]!GetFile(A63)</f>
        <v>ReportDetail.cs</v>
      </c>
      <c r="E63" s="180" t="str">
        <f>UPPER(RIGHT([1]!GetExtension(A63),LEN([1]!GetExtension(A63))-1))</f>
        <v>CS</v>
      </c>
      <c r="F63" s="180" t="s">
        <v>409</v>
      </c>
      <c r="G63" s="181">
        <f>[1]!dtmFileDateInfo(A63)</f>
        <v>41841.537870370368</v>
      </c>
      <c r="H63" s="182">
        <f>[1]!lngFileSize(A63)</f>
        <v>65600</v>
      </c>
      <c r="I63" s="180" t="str">
        <f>[1]!GetFolder(A63)</f>
        <v>C:\Documents and Settings\DAG\My Documents\Visual Studio 2010\Projects\WizardWrx_Libs\SharedUtl4\SharedUtl4</v>
      </c>
    </row>
    <row r="64" spans="1:9" ht="30" outlineLevel="2" x14ac:dyDescent="0.25">
      <c r="A64" s="179" t="s">
        <v>382</v>
      </c>
      <c r="B64" s="180">
        <v>668</v>
      </c>
      <c r="C64" s="183" t="s">
        <v>620</v>
      </c>
      <c r="D64" s="180" t="str">
        <f>[1]!GetFile(A64)</f>
        <v>ReportDetail.cs</v>
      </c>
      <c r="E64" s="180" t="str">
        <f>UPPER(RIGHT([1]!GetExtension(A64),LEN([1]!GetExtension(A64))-1))</f>
        <v>CS</v>
      </c>
      <c r="F64" s="180" t="s">
        <v>409</v>
      </c>
      <c r="G64" s="181">
        <f>[1]!dtmFileDateInfo(A64)</f>
        <v>41841.537870370368</v>
      </c>
      <c r="H64" s="182">
        <f>[1]!lngFileSize(A64)</f>
        <v>65600</v>
      </c>
      <c r="I64" s="180" t="str">
        <f>[1]!GetFolder(A64)</f>
        <v>C:\Documents and Settings\DAG\My Documents\Visual Studio 2010\Projects\WizardWrx_Libs\SharedUtl4\SharedUtl4</v>
      </c>
    </row>
    <row r="65" spans="1:9" outlineLevel="2" x14ac:dyDescent="0.25">
      <c r="A65" s="179" t="s">
        <v>382</v>
      </c>
      <c r="B65" s="180">
        <v>680</v>
      </c>
      <c r="C65" s="183" t="s">
        <v>608</v>
      </c>
      <c r="D65" s="180" t="str">
        <f>[1]!GetFile(A65)</f>
        <v>ReportDetail.cs</v>
      </c>
      <c r="E65" s="180" t="str">
        <f>UPPER(RIGHT([1]!GetExtension(A65),LEN([1]!GetExtension(A65))-1))</f>
        <v>CS</v>
      </c>
      <c r="F65" s="180" t="s">
        <v>409</v>
      </c>
      <c r="G65" s="181">
        <f>[1]!dtmFileDateInfo(A65)</f>
        <v>41841.537870370368</v>
      </c>
      <c r="H65" s="182">
        <f>[1]!lngFileSize(A65)</f>
        <v>65600</v>
      </c>
      <c r="I65" s="180" t="str">
        <f>[1]!GetFolder(A65)</f>
        <v>C:\Documents and Settings\DAG\My Documents\Visual Studio 2010\Projects\WizardWrx_Libs\SharedUtl4\SharedUtl4</v>
      </c>
    </row>
    <row r="66" spans="1:9" ht="30" outlineLevel="2" x14ac:dyDescent="0.25">
      <c r="A66" s="179" t="s">
        <v>382</v>
      </c>
      <c r="B66" s="180">
        <v>681</v>
      </c>
      <c r="C66" s="183" t="s">
        <v>609</v>
      </c>
      <c r="D66" s="180" t="str">
        <f>[1]!GetFile(A66)</f>
        <v>ReportDetail.cs</v>
      </c>
      <c r="E66" s="180" t="str">
        <f>UPPER(RIGHT([1]!GetExtension(A66),LEN([1]!GetExtension(A66))-1))</f>
        <v>CS</v>
      </c>
      <c r="F66" s="180" t="s">
        <v>409</v>
      </c>
      <c r="G66" s="181">
        <f>[1]!dtmFileDateInfo(A66)</f>
        <v>41841.537870370368</v>
      </c>
      <c r="H66" s="182">
        <f>[1]!lngFileSize(A66)</f>
        <v>65600</v>
      </c>
      <c r="I66" s="180" t="str">
        <f>[1]!GetFolder(A66)</f>
        <v>C:\Documents and Settings\DAG\My Documents\Visual Studio 2010\Projects\WizardWrx_Libs\SharedUtl4\SharedUtl4</v>
      </c>
    </row>
    <row r="67" spans="1:9" outlineLevel="2" x14ac:dyDescent="0.25">
      <c r="A67" s="179" t="s">
        <v>382</v>
      </c>
      <c r="B67" s="180">
        <v>690</v>
      </c>
      <c r="C67" s="183" t="s">
        <v>613</v>
      </c>
      <c r="D67" s="180" t="str">
        <f>[1]!GetFile(A67)</f>
        <v>ReportDetail.cs</v>
      </c>
      <c r="E67" s="180" t="str">
        <f>UPPER(RIGHT([1]!GetExtension(A67),LEN([1]!GetExtension(A67))-1))</f>
        <v>CS</v>
      </c>
      <c r="F67" s="180" t="s">
        <v>409</v>
      </c>
      <c r="G67" s="181">
        <f>[1]!dtmFileDateInfo(A67)</f>
        <v>41841.537870370368</v>
      </c>
      <c r="H67" s="182">
        <f>[1]!lngFileSize(A67)</f>
        <v>65600</v>
      </c>
      <c r="I67" s="180" t="str">
        <f>[1]!GetFolder(A67)</f>
        <v>C:\Documents and Settings\DAG\My Documents\Visual Studio 2010\Projects\WizardWrx_Libs\SharedUtl4\SharedUtl4</v>
      </c>
    </row>
    <row r="68" spans="1:9" ht="30" outlineLevel="2" x14ac:dyDescent="0.25">
      <c r="A68" s="179" t="s">
        <v>382</v>
      </c>
      <c r="B68" s="180">
        <v>696</v>
      </c>
      <c r="C68" s="183" t="s">
        <v>611</v>
      </c>
      <c r="D68" s="180" t="str">
        <f>[1]!GetFile(A68)</f>
        <v>ReportDetail.cs</v>
      </c>
      <c r="E68" s="180" t="str">
        <f>UPPER(RIGHT([1]!GetExtension(A68),LEN([1]!GetExtension(A68))-1))</f>
        <v>CS</v>
      </c>
      <c r="F68" s="180" t="s">
        <v>409</v>
      </c>
      <c r="G68" s="181">
        <f>[1]!dtmFileDateInfo(A68)</f>
        <v>41841.537870370368</v>
      </c>
      <c r="H68" s="182">
        <f>[1]!lngFileSize(A68)</f>
        <v>65600</v>
      </c>
      <c r="I68" s="180" t="str">
        <f>[1]!GetFolder(A68)</f>
        <v>C:\Documents and Settings\DAG\My Documents\Visual Studio 2010\Projects\WizardWrx_Libs\SharedUtl4\SharedUtl4</v>
      </c>
    </row>
    <row r="69" spans="1:9" ht="30" outlineLevel="2" x14ac:dyDescent="0.25">
      <c r="A69" s="179" t="s">
        <v>382</v>
      </c>
      <c r="B69" s="180">
        <v>706</v>
      </c>
      <c r="C69" s="183" t="s">
        <v>621</v>
      </c>
      <c r="D69" s="180" t="str">
        <f>[1]!GetFile(A69)</f>
        <v>ReportDetail.cs</v>
      </c>
      <c r="E69" s="180" t="str">
        <f>UPPER(RIGHT([1]!GetExtension(A69),LEN([1]!GetExtension(A69))-1))</f>
        <v>CS</v>
      </c>
      <c r="F69" s="180" t="s">
        <v>409</v>
      </c>
      <c r="G69" s="181">
        <f>[1]!dtmFileDateInfo(A69)</f>
        <v>41841.537870370368</v>
      </c>
      <c r="H69" s="182">
        <f>[1]!lngFileSize(A69)</f>
        <v>65600</v>
      </c>
      <c r="I69" s="180" t="str">
        <f>[1]!GetFolder(A69)</f>
        <v>C:\Documents and Settings\DAG\My Documents\Visual Studio 2010\Projects\WizardWrx_Libs\SharedUtl4\SharedUtl4</v>
      </c>
    </row>
    <row r="70" spans="1:9" outlineLevel="2" x14ac:dyDescent="0.25">
      <c r="A70" s="179" t="s">
        <v>382</v>
      </c>
      <c r="B70" s="180">
        <v>719</v>
      </c>
      <c r="C70" s="183" t="s">
        <v>608</v>
      </c>
      <c r="D70" s="180" t="str">
        <f>[1]!GetFile(A70)</f>
        <v>ReportDetail.cs</v>
      </c>
      <c r="E70" s="180" t="str">
        <f>UPPER(RIGHT([1]!GetExtension(A70),LEN([1]!GetExtension(A70))-1))</f>
        <v>CS</v>
      </c>
      <c r="F70" s="180" t="s">
        <v>409</v>
      </c>
      <c r="G70" s="181">
        <f>[1]!dtmFileDateInfo(A70)</f>
        <v>41841.537870370368</v>
      </c>
      <c r="H70" s="182">
        <f>[1]!lngFileSize(A70)</f>
        <v>65600</v>
      </c>
      <c r="I70" s="180" t="str">
        <f>[1]!GetFolder(A70)</f>
        <v>C:\Documents and Settings\DAG\My Documents\Visual Studio 2010\Projects\WizardWrx_Libs\SharedUtl4\SharedUtl4</v>
      </c>
    </row>
    <row r="71" spans="1:9" ht="30" outlineLevel="2" x14ac:dyDescent="0.25">
      <c r="A71" s="179" t="s">
        <v>382</v>
      </c>
      <c r="B71" s="180">
        <v>720</v>
      </c>
      <c r="C71" s="183" t="s">
        <v>609</v>
      </c>
      <c r="D71" s="180" t="str">
        <f>[1]!GetFile(A71)</f>
        <v>ReportDetail.cs</v>
      </c>
      <c r="E71" s="180" t="str">
        <f>UPPER(RIGHT([1]!GetExtension(A71),LEN([1]!GetExtension(A71))-1))</f>
        <v>CS</v>
      </c>
      <c r="F71" s="180" t="s">
        <v>409</v>
      </c>
      <c r="G71" s="181">
        <f>[1]!dtmFileDateInfo(A71)</f>
        <v>41841.537870370368</v>
      </c>
      <c r="H71" s="182">
        <f>[1]!lngFileSize(A71)</f>
        <v>65600</v>
      </c>
      <c r="I71" s="180" t="str">
        <f>[1]!GetFolder(A71)</f>
        <v>C:\Documents and Settings\DAG\My Documents\Visual Studio 2010\Projects\WizardWrx_Libs\SharedUtl4\SharedUtl4</v>
      </c>
    </row>
    <row r="72" spans="1:9" outlineLevel="2" x14ac:dyDescent="0.25">
      <c r="A72" s="179" t="s">
        <v>382</v>
      </c>
      <c r="B72" s="180">
        <v>732</v>
      </c>
      <c r="C72" s="183" t="s">
        <v>613</v>
      </c>
      <c r="D72" s="180" t="str">
        <f>[1]!GetFile(A72)</f>
        <v>ReportDetail.cs</v>
      </c>
      <c r="E72" s="180" t="str">
        <f>UPPER(RIGHT([1]!GetExtension(A72),LEN([1]!GetExtension(A72))-1))</f>
        <v>CS</v>
      </c>
      <c r="F72" s="180" t="s">
        <v>409</v>
      </c>
      <c r="G72" s="181">
        <f>[1]!dtmFileDateInfo(A72)</f>
        <v>41841.537870370368</v>
      </c>
      <c r="H72" s="182">
        <f>[1]!lngFileSize(A72)</f>
        <v>65600</v>
      </c>
      <c r="I72" s="180" t="str">
        <f>[1]!GetFolder(A72)</f>
        <v>C:\Documents and Settings\DAG\My Documents\Visual Studio 2010\Projects\WizardWrx_Libs\SharedUtl4\SharedUtl4</v>
      </c>
    </row>
    <row r="73" spans="1:9" ht="30" outlineLevel="2" x14ac:dyDescent="0.25">
      <c r="A73" s="179" t="s">
        <v>382</v>
      </c>
      <c r="B73" s="180">
        <v>739</v>
      </c>
      <c r="C73" s="183" t="s">
        <v>611</v>
      </c>
      <c r="D73" s="180" t="str">
        <f>[1]!GetFile(A73)</f>
        <v>ReportDetail.cs</v>
      </c>
      <c r="E73" s="180" t="str">
        <f>UPPER(RIGHT([1]!GetExtension(A73),LEN([1]!GetExtension(A73))-1))</f>
        <v>CS</v>
      </c>
      <c r="F73" s="180" t="s">
        <v>409</v>
      </c>
      <c r="G73" s="181">
        <f>[1]!dtmFileDateInfo(A73)</f>
        <v>41841.537870370368</v>
      </c>
      <c r="H73" s="182">
        <f>[1]!lngFileSize(A73)</f>
        <v>65600</v>
      </c>
      <c r="I73" s="180" t="str">
        <f>[1]!GetFolder(A73)</f>
        <v>C:\Documents and Settings\DAG\My Documents\Visual Studio 2010\Projects\WizardWrx_Libs\SharedUtl4\SharedUtl4</v>
      </c>
    </row>
    <row r="74" spans="1:9" outlineLevel="2" x14ac:dyDescent="0.25">
      <c r="A74" s="179" t="s">
        <v>382</v>
      </c>
      <c r="B74" s="180">
        <v>834</v>
      </c>
      <c r="C74" s="183" t="s">
        <v>622</v>
      </c>
      <c r="D74" s="180" t="str">
        <f>[1]!GetFile(A74)</f>
        <v>ReportDetail.cs</v>
      </c>
      <c r="E74" s="180" t="str">
        <f>UPPER(RIGHT([1]!GetExtension(A74),LEN([1]!GetExtension(A74))-1))</f>
        <v>CS</v>
      </c>
      <c r="F74" s="180" t="s">
        <v>409</v>
      </c>
      <c r="G74" s="181">
        <f>[1]!dtmFileDateInfo(A74)</f>
        <v>41841.537870370368</v>
      </c>
      <c r="H74" s="182">
        <f>[1]!lngFileSize(A74)</f>
        <v>65600</v>
      </c>
      <c r="I74" s="180" t="str">
        <f>[1]!GetFolder(A74)</f>
        <v>C:\Documents and Settings\DAG\My Documents\Visual Studio 2010\Projects\WizardWrx_Libs\SharedUtl4\SharedUtl4</v>
      </c>
    </row>
    <row r="75" spans="1:9" outlineLevel="2" x14ac:dyDescent="0.25">
      <c r="A75" s="179" t="s">
        <v>382</v>
      </c>
      <c r="B75" s="180">
        <v>836</v>
      </c>
      <c r="C75" s="183" t="s">
        <v>623</v>
      </c>
      <c r="D75" s="180" t="str">
        <f>[1]!GetFile(A75)</f>
        <v>ReportDetail.cs</v>
      </c>
      <c r="E75" s="180" t="str">
        <f>UPPER(RIGHT([1]!GetExtension(A75),LEN([1]!GetExtension(A75))-1))</f>
        <v>CS</v>
      </c>
      <c r="F75" s="180" t="s">
        <v>409</v>
      </c>
      <c r="G75" s="181">
        <f>[1]!dtmFileDateInfo(A75)</f>
        <v>41841.537870370368</v>
      </c>
      <c r="H75" s="182">
        <f>[1]!lngFileSize(A75)</f>
        <v>65600</v>
      </c>
      <c r="I75" s="180" t="str">
        <f>[1]!GetFolder(A75)</f>
        <v>C:\Documents and Settings\DAG\My Documents\Visual Studio 2010\Projects\WizardWrx_Libs\SharedUtl4\SharedUtl4</v>
      </c>
    </row>
    <row r="76" spans="1:9" outlineLevel="2" x14ac:dyDescent="0.25">
      <c r="A76" s="179" t="s">
        <v>382</v>
      </c>
      <c r="B76" s="180">
        <v>843</v>
      </c>
      <c r="C76" s="183" t="s">
        <v>624</v>
      </c>
      <c r="D76" s="180" t="str">
        <f>[1]!GetFile(A76)</f>
        <v>ReportDetail.cs</v>
      </c>
      <c r="E76" s="180" t="str">
        <f>UPPER(RIGHT([1]!GetExtension(A76),LEN([1]!GetExtension(A76))-1))</f>
        <v>CS</v>
      </c>
      <c r="F76" s="180" t="s">
        <v>409</v>
      </c>
      <c r="G76" s="181">
        <f>[1]!dtmFileDateInfo(A76)</f>
        <v>41841.537870370368</v>
      </c>
      <c r="H76" s="182">
        <f>[1]!lngFileSize(A76)</f>
        <v>65600</v>
      </c>
      <c r="I76" s="180" t="str">
        <f>[1]!GetFolder(A76)</f>
        <v>C:\Documents and Settings\DAG\My Documents\Visual Studio 2010\Projects\WizardWrx_Libs\SharedUtl4\SharedUtl4</v>
      </c>
    </row>
    <row r="77" spans="1:9" ht="30" outlineLevel="2" x14ac:dyDescent="0.25">
      <c r="A77" s="179" t="s">
        <v>382</v>
      </c>
      <c r="B77" s="180">
        <v>845</v>
      </c>
      <c r="C77" s="183" t="s">
        <v>625</v>
      </c>
      <c r="D77" s="180" t="str">
        <f>[1]!GetFile(A77)</f>
        <v>ReportDetail.cs</v>
      </c>
      <c r="E77" s="180" t="str">
        <f>UPPER(RIGHT([1]!GetExtension(A77),LEN([1]!GetExtension(A77))-1))</f>
        <v>CS</v>
      </c>
      <c r="F77" s="180" t="s">
        <v>409</v>
      </c>
      <c r="G77" s="181">
        <f>[1]!dtmFileDateInfo(A77)</f>
        <v>41841.537870370368</v>
      </c>
      <c r="H77" s="182">
        <f>[1]!lngFileSize(A77)</f>
        <v>65600</v>
      </c>
      <c r="I77" s="180" t="str">
        <f>[1]!GetFolder(A77)</f>
        <v>C:\Documents and Settings\DAG\My Documents\Visual Studio 2010\Projects\WizardWrx_Libs\SharedUtl4\SharedUtl4</v>
      </c>
    </row>
    <row r="78" spans="1:9" outlineLevel="2" x14ac:dyDescent="0.25">
      <c r="A78" s="179" t="s">
        <v>382</v>
      </c>
      <c r="B78" s="180">
        <v>846</v>
      </c>
      <c r="C78" s="183" t="s">
        <v>626</v>
      </c>
      <c r="D78" s="180" t="str">
        <f>[1]!GetFile(A78)</f>
        <v>ReportDetail.cs</v>
      </c>
      <c r="E78" s="180" t="str">
        <f>UPPER(RIGHT([1]!GetExtension(A78),LEN([1]!GetExtension(A78))-1))</f>
        <v>CS</v>
      </c>
      <c r="F78" s="180" t="s">
        <v>409</v>
      </c>
      <c r="G78" s="181">
        <f>[1]!dtmFileDateInfo(A78)</f>
        <v>41841.537870370368</v>
      </c>
      <c r="H78" s="182">
        <f>[1]!lngFileSize(A78)</f>
        <v>65600</v>
      </c>
      <c r="I78" s="180" t="str">
        <f>[1]!GetFolder(A78)</f>
        <v>C:\Documents and Settings\DAG\My Documents\Visual Studio 2010\Projects\WizardWrx_Libs\SharedUtl4\SharedUtl4</v>
      </c>
    </row>
    <row r="79" spans="1:9" outlineLevel="2" x14ac:dyDescent="0.25">
      <c r="A79" s="179" t="s">
        <v>382</v>
      </c>
      <c r="B79" s="180">
        <v>1418</v>
      </c>
      <c r="C79" s="183" t="s">
        <v>627</v>
      </c>
      <c r="D79" s="180" t="str">
        <f>[1]!GetFile(A79)</f>
        <v>ReportDetail.cs</v>
      </c>
      <c r="E79" s="180" t="str">
        <f>UPPER(RIGHT([1]!GetExtension(A79),LEN([1]!GetExtension(A79))-1))</f>
        <v>CS</v>
      </c>
      <c r="F79" s="180" t="s">
        <v>409</v>
      </c>
      <c r="G79" s="181">
        <f>[1]!dtmFileDateInfo(A79)</f>
        <v>41841.537870370368</v>
      </c>
      <c r="H79" s="182">
        <f>[1]!lngFileSize(A79)</f>
        <v>65600</v>
      </c>
      <c r="I79" s="180" t="str">
        <f>[1]!GetFolder(A79)</f>
        <v>C:\Documents and Settings\DAG\My Documents\Visual Studio 2010\Projects\WizardWrx_Libs\SharedUtl4\SharedUtl4</v>
      </c>
    </row>
    <row r="80" spans="1:9" ht="45" outlineLevel="2" x14ac:dyDescent="0.25">
      <c r="A80" s="179" t="s">
        <v>382</v>
      </c>
      <c r="B80" s="180">
        <v>1497</v>
      </c>
      <c r="C80" s="183" t="s">
        <v>628</v>
      </c>
      <c r="D80" s="180" t="str">
        <f>[1]!GetFile(A80)</f>
        <v>ReportDetail.cs</v>
      </c>
      <c r="E80" s="180" t="str">
        <f>UPPER(RIGHT([1]!GetExtension(A80),LEN([1]!GetExtension(A80))-1))</f>
        <v>CS</v>
      </c>
      <c r="F80" s="180" t="s">
        <v>409</v>
      </c>
      <c r="G80" s="181">
        <f>[1]!dtmFileDateInfo(A80)</f>
        <v>41841.537870370368</v>
      </c>
      <c r="H80" s="182">
        <f>[1]!lngFileSize(A80)</f>
        <v>65600</v>
      </c>
      <c r="I80" s="180" t="str">
        <f>[1]!GetFolder(A80)</f>
        <v>C:\Documents and Settings\DAG\My Documents\Visual Studio 2010\Projects\WizardWrx_Libs\SharedUtl4\SharedUtl4</v>
      </c>
    </row>
    <row r="81" spans="1:9" outlineLevel="1" x14ac:dyDescent="0.25">
      <c r="A81" s="179" t="s">
        <v>642</v>
      </c>
      <c r="B81" s="180">
        <f>SUBTOTAL(3,B13:B80)</f>
        <v>68</v>
      </c>
      <c r="C81" s="183"/>
      <c r="D81" s="180"/>
      <c r="E81" s="180"/>
      <c r="F81" s="180"/>
      <c r="G81" s="181"/>
      <c r="H81" s="182"/>
      <c r="I81" s="180">
        <f>SUBTOTAL(3,I13:I80)</f>
        <v>68</v>
      </c>
    </row>
    <row r="82" spans="1:9" ht="30" outlineLevel="2" x14ac:dyDescent="0.25">
      <c r="A82" s="179" t="s">
        <v>402</v>
      </c>
      <c r="B82" s="180">
        <v>37</v>
      </c>
      <c r="C82" s="183" t="s">
        <v>629</v>
      </c>
      <c r="D82" s="180" t="str">
        <f>[1]!GetFile(A82)</f>
        <v>ReportDetails.cs</v>
      </c>
      <c r="E82" s="180" t="str">
        <f>UPPER(RIGHT([1]!GetExtension(A82),LEN([1]!GetExtension(A82))-1))</f>
        <v>CS</v>
      </c>
      <c r="F82" s="180" t="s">
        <v>409</v>
      </c>
      <c r="G82" s="181">
        <f>[1]!dtmFileDateInfo(A82)</f>
        <v>41841.533726851849</v>
      </c>
      <c r="H82" s="182">
        <f>[1]!lngFileSize(A82)</f>
        <v>17958</v>
      </c>
      <c r="I82" s="180" t="str">
        <f>[1]!GetFolder(A82)</f>
        <v>C:\Documents and Settings\DAG\My Documents\Visual Studio 2010\Projects\WizardWrx_Libs\SharedUtl4\SharedUtl4</v>
      </c>
    </row>
    <row r="83" spans="1:9" ht="30" outlineLevel="2" x14ac:dyDescent="0.25">
      <c r="A83" s="179" t="s">
        <v>402</v>
      </c>
      <c r="B83" s="180">
        <v>125</v>
      </c>
      <c r="C83" s="183" t="s">
        <v>630</v>
      </c>
      <c r="D83" s="180" t="str">
        <f>[1]!GetFile(A83)</f>
        <v>ReportDetails.cs</v>
      </c>
      <c r="E83" s="180" t="str">
        <f>UPPER(RIGHT([1]!GetExtension(A83),LEN([1]!GetExtension(A83))-1))</f>
        <v>CS</v>
      </c>
      <c r="F83" s="180" t="s">
        <v>409</v>
      </c>
      <c r="G83" s="181">
        <f>[1]!dtmFileDateInfo(A83)</f>
        <v>41841.533726851849</v>
      </c>
      <c r="H83" s="182">
        <f>[1]!lngFileSize(A83)</f>
        <v>17958</v>
      </c>
      <c r="I83" s="180" t="str">
        <f>[1]!GetFolder(A83)</f>
        <v>C:\Documents and Settings\DAG\My Documents\Visual Studio 2010\Projects\WizardWrx_Libs\SharedUtl4\SharedUtl4</v>
      </c>
    </row>
    <row r="84" spans="1:9" ht="30" outlineLevel="2" x14ac:dyDescent="0.25">
      <c r="A84" s="179" t="s">
        <v>402</v>
      </c>
      <c r="B84" s="180">
        <v>133</v>
      </c>
      <c r="C84" s="183" t="s">
        <v>631</v>
      </c>
      <c r="D84" s="180" t="str">
        <f>[1]!GetFile(A84)</f>
        <v>ReportDetails.cs</v>
      </c>
      <c r="E84" s="180" t="str">
        <f>UPPER(RIGHT([1]!GetExtension(A84),LEN([1]!GetExtension(A84))-1))</f>
        <v>CS</v>
      </c>
      <c r="F84" s="180" t="s">
        <v>409</v>
      </c>
      <c r="G84" s="181">
        <f>[1]!dtmFileDateInfo(A84)</f>
        <v>41841.533726851849</v>
      </c>
      <c r="H84" s="182">
        <f>[1]!lngFileSize(A84)</f>
        <v>17958</v>
      </c>
      <c r="I84" s="180" t="str">
        <f>[1]!GetFolder(A84)</f>
        <v>C:\Documents and Settings\DAG\My Documents\Visual Studio 2010\Projects\WizardWrx_Libs\SharedUtl4\SharedUtl4</v>
      </c>
    </row>
    <row r="85" spans="1:9" ht="30" outlineLevel="2" x14ac:dyDescent="0.25">
      <c r="A85" s="179" t="s">
        <v>402</v>
      </c>
      <c r="B85" s="180">
        <v>134</v>
      </c>
      <c r="C85" s="183" t="s">
        <v>632</v>
      </c>
      <c r="D85" s="180" t="str">
        <f>[1]!GetFile(A85)</f>
        <v>ReportDetails.cs</v>
      </c>
      <c r="E85" s="180" t="str">
        <f>UPPER(RIGHT([1]!GetExtension(A85),LEN([1]!GetExtension(A85))-1))</f>
        <v>CS</v>
      </c>
      <c r="F85" s="180" t="s">
        <v>409</v>
      </c>
      <c r="G85" s="181">
        <f>[1]!dtmFileDateInfo(A85)</f>
        <v>41841.533726851849</v>
      </c>
      <c r="H85" s="182">
        <f>[1]!lngFileSize(A85)</f>
        <v>17958</v>
      </c>
      <c r="I85" s="180" t="str">
        <f>[1]!GetFolder(A85)</f>
        <v>C:\Documents and Settings\DAG\My Documents\Visual Studio 2010\Projects\WizardWrx_Libs\SharedUtl4\SharedUtl4</v>
      </c>
    </row>
    <row r="86" spans="1:9" ht="30" outlineLevel="2" x14ac:dyDescent="0.25">
      <c r="A86" s="179" t="s">
        <v>402</v>
      </c>
      <c r="B86" s="180">
        <v>135</v>
      </c>
      <c r="C86" s="183" t="s">
        <v>633</v>
      </c>
      <c r="D86" s="180" t="str">
        <f>[1]!GetFile(A86)</f>
        <v>ReportDetails.cs</v>
      </c>
      <c r="E86" s="180" t="str">
        <f>UPPER(RIGHT([1]!GetExtension(A86),LEN([1]!GetExtension(A86))-1))</f>
        <v>CS</v>
      </c>
      <c r="F86" s="180" t="s">
        <v>409</v>
      </c>
      <c r="G86" s="181">
        <f>[1]!dtmFileDateInfo(A86)</f>
        <v>41841.533726851849</v>
      </c>
      <c r="H86" s="182">
        <f>[1]!lngFileSize(A86)</f>
        <v>17958</v>
      </c>
      <c r="I86" s="180" t="str">
        <f>[1]!GetFolder(A86)</f>
        <v>C:\Documents and Settings\DAG\My Documents\Visual Studio 2010\Projects\WizardWrx_Libs\SharedUtl4\SharedUtl4</v>
      </c>
    </row>
    <row r="87" spans="1:9" ht="30" outlineLevel="2" x14ac:dyDescent="0.25">
      <c r="A87" s="179" t="s">
        <v>402</v>
      </c>
      <c r="B87" s="180">
        <v>136</v>
      </c>
      <c r="C87" s="183" t="s">
        <v>634</v>
      </c>
      <c r="D87" s="180" t="str">
        <f>[1]!GetFile(A87)</f>
        <v>ReportDetails.cs</v>
      </c>
      <c r="E87" s="180" t="str">
        <f>UPPER(RIGHT([1]!GetExtension(A87),LEN([1]!GetExtension(A87))-1))</f>
        <v>CS</v>
      </c>
      <c r="F87" s="180" t="s">
        <v>409</v>
      </c>
      <c r="G87" s="181">
        <f>[1]!dtmFileDateInfo(A87)</f>
        <v>41841.533726851849</v>
      </c>
      <c r="H87" s="182">
        <f>[1]!lngFileSize(A87)</f>
        <v>17958</v>
      </c>
      <c r="I87" s="180" t="str">
        <f>[1]!GetFolder(A87)</f>
        <v>C:\Documents and Settings\DAG\My Documents\Visual Studio 2010\Projects\WizardWrx_Libs\SharedUtl4\SharedUtl4</v>
      </c>
    </row>
    <row r="88" spans="1:9" outlineLevel="2" x14ac:dyDescent="0.25">
      <c r="A88" s="179" t="s">
        <v>402</v>
      </c>
      <c r="B88" s="180">
        <v>209</v>
      </c>
      <c r="C88" s="183" t="s">
        <v>635</v>
      </c>
      <c r="D88" s="180" t="str">
        <f>[1]!GetFile(A88)</f>
        <v>ReportDetails.cs</v>
      </c>
      <c r="E88" s="180" t="str">
        <f>UPPER(RIGHT([1]!GetExtension(A88),LEN([1]!GetExtension(A88))-1))</f>
        <v>CS</v>
      </c>
      <c r="F88" s="180" t="s">
        <v>409</v>
      </c>
      <c r="G88" s="181">
        <f>[1]!dtmFileDateInfo(A88)</f>
        <v>41841.533726851849</v>
      </c>
      <c r="H88" s="182">
        <f>[1]!lngFileSize(A88)</f>
        <v>17958</v>
      </c>
      <c r="I88" s="180" t="str">
        <f>[1]!GetFolder(A88)</f>
        <v>C:\Documents and Settings\DAG\My Documents\Visual Studio 2010\Projects\WizardWrx_Libs\SharedUtl4\SharedUtl4</v>
      </c>
    </row>
    <row r="89" spans="1:9" outlineLevel="1" x14ac:dyDescent="0.25">
      <c r="A89" s="179" t="s">
        <v>643</v>
      </c>
      <c r="B89" s="180">
        <f>SUBTOTAL(3,B82:B88)</f>
        <v>7</v>
      </c>
      <c r="C89" s="183"/>
      <c r="D89" s="180"/>
      <c r="E89" s="180"/>
      <c r="F89" s="180"/>
      <c r="G89" s="181"/>
      <c r="H89" s="182"/>
      <c r="I89" s="180">
        <f>SUBTOTAL(3,I82:I88)</f>
        <v>7</v>
      </c>
    </row>
    <row r="90" spans="1:9" ht="45" outlineLevel="2" x14ac:dyDescent="0.25">
      <c r="A90" s="179" t="s">
        <v>636</v>
      </c>
      <c r="B90" s="180">
        <v>100</v>
      </c>
      <c r="C90" s="183" t="s">
        <v>637</v>
      </c>
      <c r="D90" s="180" t="str">
        <f>[1]!GetFile(A90)</f>
        <v>Resources.Designer.cs</v>
      </c>
      <c r="E90" s="180" t="str">
        <f>UPPER(RIGHT([1]!GetExtension(A90),LEN([1]!GetExtension(A90))-1))</f>
        <v>CS</v>
      </c>
      <c r="F90" s="180" t="s">
        <v>409</v>
      </c>
      <c r="G90" s="181">
        <f>[1]!dtmFileDateInfo(A90)</f>
        <v>41839.920370370368</v>
      </c>
      <c r="H90" s="182">
        <f>[1]!lngFileSize(A90)</f>
        <v>8424</v>
      </c>
      <c r="I90" s="180" t="str">
        <f>[1]!GetFolder(A90)</f>
        <v>C:\Documents and Settings\DAG\My Documents\Visual Studio 2010\Projects\WizardWrx_Libs\SharedUtl4\SharedUtl4\Properties</v>
      </c>
    </row>
    <row r="91" spans="1:9" outlineLevel="1" x14ac:dyDescent="0.25">
      <c r="A91" s="179" t="s">
        <v>644</v>
      </c>
      <c r="B91" s="180">
        <f>SUBTOTAL(3,B90:B90)</f>
        <v>1</v>
      </c>
      <c r="C91" s="183"/>
      <c r="D91" s="180"/>
      <c r="E91" s="180"/>
      <c r="F91" s="180"/>
      <c r="G91" s="181"/>
      <c r="H91" s="182"/>
      <c r="I91" s="180">
        <f>SUBTOTAL(3,I90:I90)</f>
        <v>1</v>
      </c>
    </row>
    <row r="92" spans="1:9" ht="45" outlineLevel="2" x14ac:dyDescent="0.25">
      <c r="A92" s="179" t="s">
        <v>638</v>
      </c>
      <c r="B92" s="180">
        <v>478</v>
      </c>
      <c r="C92" s="183" t="s">
        <v>639</v>
      </c>
      <c r="D92" s="180" t="str">
        <f>[1]!GetFile(A92)</f>
        <v>Resources.Designer.cs</v>
      </c>
      <c r="E92" s="180" t="str">
        <f>UPPER(RIGHT([1]!GetExtension(A92),LEN([1]!GetExtension(A92))-1))</f>
        <v>CS</v>
      </c>
      <c r="F92" s="180" t="s">
        <v>409</v>
      </c>
      <c r="G92" s="181">
        <f>[1]!dtmFileDateInfo(A92)</f>
        <v>41838.98741898148</v>
      </c>
      <c r="H92" s="182">
        <f>[1]!lngFileSize(A92)</f>
        <v>21044</v>
      </c>
      <c r="I92" s="180" t="str">
        <f>[1]!GetFolder(A92)</f>
        <v>C:\Documents and Settings\DAG\My Documents\Visual Studio 2010\Projects\WizardWrx_Libs\SharedUtl4\SharedUtl4_TestStand\Properties</v>
      </c>
    </row>
    <row r="93" spans="1:9" ht="45" outlineLevel="2" x14ac:dyDescent="0.25">
      <c r="A93" s="179" t="s">
        <v>638</v>
      </c>
      <c r="B93" s="180">
        <v>487</v>
      </c>
      <c r="C93" s="183" t="s">
        <v>640</v>
      </c>
      <c r="D93" s="180" t="str">
        <f>[1]!GetFile(A93)</f>
        <v>Resources.Designer.cs</v>
      </c>
      <c r="E93" s="180" t="str">
        <f>UPPER(RIGHT([1]!GetExtension(A93),LEN([1]!GetExtension(A93))-1))</f>
        <v>CS</v>
      </c>
      <c r="F93" s="180" t="s">
        <v>409</v>
      </c>
      <c r="G93" s="181">
        <f>[1]!dtmFileDateInfo(A93)</f>
        <v>41838.98741898148</v>
      </c>
      <c r="H93" s="182">
        <f>[1]!lngFileSize(A93)</f>
        <v>21044</v>
      </c>
      <c r="I93" s="180" t="str">
        <f>[1]!GetFolder(A93)</f>
        <v>C:\Documents and Settings\DAG\My Documents\Visual Studio 2010\Projects\WizardWrx_Libs\SharedUtl4\SharedUtl4_TestStand\Properties</v>
      </c>
    </row>
    <row r="94" spans="1:9" outlineLevel="1" x14ac:dyDescent="0.25">
      <c r="A94" s="179" t="s">
        <v>645</v>
      </c>
      <c r="B94" s="180">
        <f>SUBTOTAL(3,B92:B93)</f>
        <v>2</v>
      </c>
      <c r="C94" s="183"/>
      <c r="D94" s="180"/>
      <c r="E94" s="180"/>
      <c r="F94" s="180"/>
      <c r="G94" s="181"/>
      <c r="H94" s="182"/>
      <c r="I94" s="180">
        <f>SUBTOTAL(3,I92:I93)</f>
        <v>2</v>
      </c>
    </row>
    <row r="95" spans="1:9" x14ac:dyDescent="0.25">
      <c r="A95" s="179" t="s">
        <v>469</v>
      </c>
      <c r="B95" s="180">
        <f>SUBTOTAL(3,B2:B93)</f>
        <v>88</v>
      </c>
      <c r="C95" s="183"/>
      <c r="D95" s="180"/>
      <c r="E95" s="180"/>
      <c r="F95" s="180"/>
      <c r="G95" s="181"/>
      <c r="H95" s="182"/>
      <c r="I95" s="180">
        <f>SUBTOTAL(3,I2:I93)</f>
        <v>88</v>
      </c>
    </row>
  </sheetData>
  <conditionalFormatting sqref="A2:I2">
    <cfRule type="expression" dxfId="3" priority="5">
      <formula>FIND("Count",$A2)</formula>
    </cfRule>
    <cfRule type="expression" dxfId="2" priority="3">
      <formula>OR($F2="OK",$F2="Done")</formula>
    </cfRule>
  </conditionalFormatting>
  <conditionalFormatting sqref="A3:I95">
    <cfRule type="expression" dxfId="1" priority="1">
      <formula>OR($F3="OK",$F3="Done")</formula>
    </cfRule>
    <cfRule type="expression" dxfId="0" priority="2">
      <formula>FIND("Count",$A3)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1" sqref="D1"/>
    </sheetView>
  </sheetViews>
  <sheetFormatPr defaultRowHeight="15" x14ac:dyDescent="0.25"/>
  <cols>
    <col min="1" max="1" width="15.75" style="128" bestFit="1" customWidth="1"/>
    <col min="2" max="2" width="7.125" bestFit="1" customWidth="1"/>
    <col min="3" max="3" width="23.25" bestFit="1" customWidth="1"/>
    <col min="4" max="4" width="26.375" bestFit="1" customWidth="1"/>
    <col min="5" max="5" width="11.875" style="128" bestFit="1" customWidth="1"/>
    <col min="6" max="6" width="116.125" bestFit="1" customWidth="1"/>
    <col min="7" max="7" width="82" bestFit="1" customWidth="1"/>
    <col min="8" max="8" width="44.5" bestFit="1" customWidth="1"/>
    <col min="9" max="9" width="53.125" bestFit="1" customWidth="1"/>
  </cols>
  <sheetData>
    <row r="1" spans="1:9" ht="18" x14ac:dyDescent="0.25">
      <c r="A1" s="131" t="s">
        <v>493</v>
      </c>
      <c r="B1" s="131" t="s">
        <v>492</v>
      </c>
      <c r="C1" s="131" t="s">
        <v>375</v>
      </c>
      <c r="D1" s="131" t="s">
        <v>377</v>
      </c>
      <c r="E1" s="131" t="s">
        <v>376</v>
      </c>
      <c r="F1" s="132" t="s">
        <v>43</v>
      </c>
      <c r="G1" s="131" t="s">
        <v>196</v>
      </c>
      <c r="H1" s="130" t="s">
        <v>13</v>
      </c>
      <c r="I1" s="131" t="s">
        <v>520</v>
      </c>
    </row>
    <row r="2" spans="1:9" x14ac:dyDescent="0.25">
      <c r="A2" s="135" t="s">
        <v>494</v>
      </c>
      <c r="B2" s="136" t="s">
        <v>304</v>
      </c>
      <c r="C2" s="136" t="s">
        <v>482</v>
      </c>
      <c r="D2" s="136"/>
      <c r="E2" s="125"/>
      <c r="F2" s="137" t="s">
        <v>341</v>
      </c>
      <c r="G2" s="136" t="s">
        <v>342</v>
      </c>
      <c r="H2" s="135"/>
      <c r="I2" s="133"/>
    </row>
    <row r="3" spans="1:9" x14ac:dyDescent="0.25">
      <c r="A3" s="135"/>
      <c r="B3" s="136" t="s">
        <v>304</v>
      </c>
      <c r="C3" s="136"/>
      <c r="D3" s="136" t="s">
        <v>311</v>
      </c>
      <c r="E3" s="125"/>
      <c r="F3" s="137" t="s">
        <v>483</v>
      </c>
      <c r="G3" s="136" t="s">
        <v>344</v>
      </c>
      <c r="H3" s="135"/>
      <c r="I3" s="133"/>
    </row>
    <row r="4" spans="1:9" x14ac:dyDescent="0.25">
      <c r="A4" s="135"/>
      <c r="B4" s="136"/>
      <c r="C4" s="136"/>
      <c r="D4" s="136"/>
      <c r="E4" s="125" t="s">
        <v>345</v>
      </c>
      <c r="F4" s="137" t="s">
        <v>484</v>
      </c>
      <c r="G4" s="136" t="s">
        <v>347</v>
      </c>
      <c r="H4" s="135"/>
      <c r="I4" s="133"/>
    </row>
    <row r="5" spans="1:9" x14ac:dyDescent="0.25">
      <c r="A5" s="135"/>
      <c r="B5" s="136"/>
      <c r="C5" s="136"/>
      <c r="D5" s="136"/>
      <c r="E5" s="125" t="s">
        <v>348</v>
      </c>
      <c r="F5" s="137" t="s">
        <v>485</v>
      </c>
      <c r="G5" s="136" t="s">
        <v>350</v>
      </c>
      <c r="H5" s="135"/>
      <c r="I5" s="133"/>
    </row>
    <row r="6" spans="1:9" x14ac:dyDescent="0.25">
      <c r="A6" s="135"/>
      <c r="B6" s="136"/>
      <c r="C6" s="136"/>
      <c r="D6" s="136"/>
      <c r="E6" s="125" t="s">
        <v>351</v>
      </c>
      <c r="F6" s="137">
        <v>39</v>
      </c>
      <c r="G6" s="136" t="s">
        <v>303</v>
      </c>
      <c r="H6" s="135"/>
      <c r="I6" s="133"/>
    </row>
    <row r="7" spans="1:9" x14ac:dyDescent="0.25">
      <c r="A7" s="135"/>
      <c r="B7" s="136"/>
      <c r="C7" s="136"/>
      <c r="D7" s="136"/>
      <c r="E7" s="125" t="s">
        <v>352</v>
      </c>
      <c r="F7" s="137" t="s">
        <v>353</v>
      </c>
      <c r="G7" s="136" t="s">
        <v>194</v>
      </c>
      <c r="H7" s="135"/>
      <c r="I7" s="133"/>
    </row>
    <row r="8" spans="1:9" x14ac:dyDescent="0.25">
      <c r="A8" s="135"/>
      <c r="B8" s="136" t="s">
        <v>331</v>
      </c>
      <c r="C8" s="136" t="s">
        <v>332</v>
      </c>
      <c r="D8" s="136"/>
      <c r="E8" s="125"/>
      <c r="F8" s="137"/>
      <c r="G8" s="136"/>
      <c r="H8" s="135"/>
      <c r="I8" s="133"/>
    </row>
    <row r="9" spans="1:9" x14ac:dyDescent="0.25">
      <c r="A9" s="135"/>
      <c r="B9" s="136" t="s">
        <v>331</v>
      </c>
      <c r="C9" s="136" t="s">
        <v>338</v>
      </c>
      <c r="D9" s="136"/>
      <c r="E9" s="125"/>
      <c r="F9" s="137"/>
      <c r="G9" s="136"/>
      <c r="H9" s="135"/>
      <c r="I9" s="133"/>
    </row>
    <row r="10" spans="1:9" x14ac:dyDescent="0.25">
      <c r="A10" s="135"/>
      <c r="B10" s="136"/>
      <c r="C10" s="136" t="s">
        <v>486</v>
      </c>
      <c r="D10" s="136"/>
      <c r="E10" s="125"/>
      <c r="F10" s="137">
        <v>0</v>
      </c>
      <c r="G10" s="136" t="s">
        <v>303</v>
      </c>
      <c r="H10" s="135"/>
      <c r="I10" s="133"/>
    </row>
    <row r="11" spans="1:9" x14ac:dyDescent="0.25">
      <c r="A11" s="135"/>
      <c r="B11" s="136"/>
      <c r="C11" s="136" t="s">
        <v>487</v>
      </c>
      <c r="D11" s="136"/>
      <c r="E11" s="125"/>
      <c r="F11" s="137">
        <v>1</v>
      </c>
      <c r="G11" s="136" t="s">
        <v>303</v>
      </c>
      <c r="H11" s="135"/>
      <c r="I11" s="133"/>
    </row>
    <row r="12" spans="1:9" x14ac:dyDescent="0.25">
      <c r="A12" s="135"/>
      <c r="B12" s="136"/>
      <c r="C12" s="136" t="s">
        <v>488</v>
      </c>
      <c r="D12" s="136"/>
      <c r="E12" s="125"/>
      <c r="F12" s="137">
        <v>0</v>
      </c>
      <c r="G12" s="136" t="s">
        <v>303</v>
      </c>
      <c r="H12" s="135"/>
      <c r="I12" s="133"/>
    </row>
    <row r="13" spans="1:9" x14ac:dyDescent="0.25">
      <c r="A13" s="135"/>
      <c r="B13" s="136"/>
      <c r="C13" s="136" t="s">
        <v>489</v>
      </c>
      <c r="D13" s="136"/>
      <c r="E13" s="125"/>
      <c r="F13" s="137">
        <v>1</v>
      </c>
      <c r="G13" s="136" t="s">
        <v>303</v>
      </c>
      <c r="H13" s="135"/>
      <c r="I13" s="133"/>
    </row>
    <row r="14" spans="1:9" x14ac:dyDescent="0.25">
      <c r="A14" s="135"/>
      <c r="B14" s="136"/>
      <c r="C14" s="136" t="s">
        <v>490</v>
      </c>
      <c r="D14" s="136"/>
      <c r="E14" s="125"/>
      <c r="F14" s="137" t="s">
        <v>491</v>
      </c>
      <c r="G14" s="136" t="s">
        <v>347</v>
      </c>
      <c r="H14" s="135"/>
      <c r="I14" s="133"/>
    </row>
    <row r="15" spans="1:9" x14ac:dyDescent="0.25">
      <c r="A15" s="135" t="s">
        <v>495</v>
      </c>
      <c r="B15" s="136" t="s">
        <v>304</v>
      </c>
      <c r="C15" s="136" t="s">
        <v>486</v>
      </c>
      <c r="D15" s="136"/>
      <c r="E15" s="125"/>
      <c r="F15" s="137">
        <v>1</v>
      </c>
      <c r="G15" s="136" t="s">
        <v>303</v>
      </c>
      <c r="H15" s="135" t="s">
        <v>498</v>
      </c>
      <c r="I15" s="133" t="s">
        <v>519</v>
      </c>
    </row>
    <row r="16" spans="1:9" x14ac:dyDescent="0.25">
      <c r="A16" s="135" t="s">
        <v>495</v>
      </c>
      <c r="B16" s="136" t="s">
        <v>331</v>
      </c>
      <c r="C16" s="136" t="s">
        <v>496</v>
      </c>
      <c r="D16" s="136"/>
      <c r="E16" s="125"/>
      <c r="F16" s="137" t="s">
        <v>483</v>
      </c>
      <c r="G16" s="137" t="s">
        <v>344</v>
      </c>
      <c r="H16" s="135" t="s">
        <v>497</v>
      </c>
      <c r="I16" s="134" t="s">
        <v>521</v>
      </c>
    </row>
    <row r="17" spans="1:9" x14ac:dyDescent="0.25">
      <c r="A17" s="135" t="s">
        <v>495</v>
      </c>
      <c r="B17" s="136" t="s">
        <v>304</v>
      </c>
      <c r="C17" s="136" t="s">
        <v>499</v>
      </c>
      <c r="D17" s="136"/>
      <c r="E17" s="125"/>
      <c r="F17" s="137" t="s">
        <v>500</v>
      </c>
      <c r="G17" s="137" t="s">
        <v>501</v>
      </c>
      <c r="H17" s="135" t="s">
        <v>506</v>
      </c>
      <c r="I17" s="134" t="s">
        <v>522</v>
      </c>
    </row>
    <row r="18" spans="1:9" x14ac:dyDescent="0.25">
      <c r="A18" s="135" t="s">
        <v>495</v>
      </c>
      <c r="B18" s="136"/>
      <c r="C18" s="136"/>
      <c r="D18" s="136" t="s">
        <v>311</v>
      </c>
      <c r="E18" s="125"/>
      <c r="F18" s="137" t="s">
        <v>502</v>
      </c>
      <c r="G18" s="137" t="s">
        <v>194</v>
      </c>
      <c r="H18" s="135"/>
      <c r="I18" s="134"/>
    </row>
    <row r="19" spans="1:9" x14ac:dyDescent="0.25">
      <c r="A19" s="135" t="s">
        <v>495</v>
      </c>
      <c r="B19" s="136"/>
      <c r="C19" s="136"/>
      <c r="D19" s="136" t="s">
        <v>333</v>
      </c>
      <c r="E19" s="125"/>
      <c r="F19" s="137" t="s">
        <v>503</v>
      </c>
      <c r="G19" s="137" t="s">
        <v>194</v>
      </c>
      <c r="H19" s="135" t="s">
        <v>507</v>
      </c>
      <c r="I19" s="134"/>
    </row>
    <row r="20" spans="1:9" x14ac:dyDescent="0.25">
      <c r="A20" s="135" t="s">
        <v>495</v>
      </c>
      <c r="B20" s="136"/>
      <c r="C20" s="136"/>
      <c r="D20" s="136" t="s">
        <v>334</v>
      </c>
      <c r="E20" s="125"/>
      <c r="F20" s="137" t="s">
        <v>504</v>
      </c>
      <c r="G20" s="137" t="s">
        <v>194</v>
      </c>
      <c r="H20" s="135"/>
      <c r="I20" s="134"/>
    </row>
    <row r="21" spans="1:9" x14ac:dyDescent="0.25">
      <c r="A21" s="135" t="s">
        <v>495</v>
      </c>
      <c r="B21" s="136"/>
      <c r="C21" s="136"/>
      <c r="D21" s="136" t="s">
        <v>335</v>
      </c>
      <c r="E21" s="125"/>
      <c r="F21" s="137" t="s">
        <v>505</v>
      </c>
      <c r="G21" s="137" t="s">
        <v>194</v>
      </c>
      <c r="H21" s="135"/>
      <c r="I21" s="134"/>
    </row>
    <row r="22" spans="1:9" x14ac:dyDescent="0.25">
      <c r="A22" s="135" t="s">
        <v>495</v>
      </c>
      <c r="B22" s="136"/>
      <c r="C22" s="136" t="s">
        <v>508</v>
      </c>
      <c r="D22" s="136"/>
      <c r="E22" s="125"/>
      <c r="F22" s="137">
        <v>4</v>
      </c>
      <c r="G22" s="137" t="s">
        <v>303</v>
      </c>
      <c r="H22" s="135" t="s">
        <v>498</v>
      </c>
      <c r="I22" s="134" t="s">
        <v>523</v>
      </c>
    </row>
    <row r="23" spans="1:9" s="128" customFormat="1" x14ac:dyDescent="0.25">
      <c r="A23" s="135" t="s">
        <v>527</v>
      </c>
      <c r="B23" s="136" t="s">
        <v>304</v>
      </c>
      <c r="C23" s="136" t="s">
        <v>524</v>
      </c>
      <c r="D23" s="136" t="s">
        <v>524</v>
      </c>
      <c r="E23" s="125"/>
      <c r="F23" s="137" t="s">
        <v>525</v>
      </c>
      <c r="G23" s="137" t="s">
        <v>526</v>
      </c>
      <c r="H23" s="135"/>
      <c r="I23" s="134"/>
    </row>
    <row r="24" spans="1:9" x14ac:dyDescent="0.25">
      <c r="A24" s="135" t="s">
        <v>495</v>
      </c>
      <c r="B24" s="136" t="s">
        <v>304</v>
      </c>
      <c r="C24" s="136" t="s">
        <v>510</v>
      </c>
      <c r="D24" s="136"/>
      <c r="E24" s="125"/>
      <c r="F24" s="137" t="s">
        <v>511</v>
      </c>
      <c r="G24" s="137" t="s">
        <v>501</v>
      </c>
      <c r="H24" s="135" t="s">
        <v>512</v>
      </c>
      <c r="I24" s="134" t="s">
        <v>528</v>
      </c>
    </row>
    <row r="25" spans="1:9" x14ac:dyDescent="0.25">
      <c r="A25" s="135" t="s">
        <v>495</v>
      </c>
      <c r="B25" s="136"/>
      <c r="C25" s="136"/>
      <c r="D25" s="136" t="s">
        <v>311</v>
      </c>
      <c r="E25" s="125"/>
      <c r="F25" s="137" t="s">
        <v>509</v>
      </c>
      <c r="G25" s="137" t="s">
        <v>194</v>
      </c>
      <c r="H25" s="135" t="str">
        <f>CONCATENATE("String Length = ",LEN(F25))</f>
        <v>String Length = 30</v>
      </c>
      <c r="I25" s="134"/>
    </row>
    <row r="26" spans="1:9" ht="30" x14ac:dyDescent="0.25">
      <c r="A26" s="135" t="s">
        <v>495</v>
      </c>
      <c r="B26" s="136" t="s">
        <v>304</v>
      </c>
      <c r="C26" s="136"/>
      <c r="D26" s="136" t="s">
        <v>513</v>
      </c>
      <c r="E26" s="125"/>
      <c r="F26" s="137" t="s">
        <v>511</v>
      </c>
      <c r="G26" s="137" t="s">
        <v>501</v>
      </c>
      <c r="H26" s="135" t="s">
        <v>515</v>
      </c>
      <c r="I26" s="134" t="s">
        <v>529</v>
      </c>
    </row>
    <row r="27" spans="1:9" ht="30" x14ac:dyDescent="0.25">
      <c r="A27" s="135" t="s">
        <v>495</v>
      </c>
      <c r="B27" s="136"/>
      <c r="C27" s="136"/>
      <c r="D27" s="136" t="s">
        <v>311</v>
      </c>
      <c r="E27" s="125"/>
      <c r="F27" s="136" t="s">
        <v>514</v>
      </c>
      <c r="G27" s="137" t="s">
        <v>194</v>
      </c>
      <c r="H27" s="135" t="str">
        <f>CONCATENATE("String Length = ",LEN(F27)," and it's SUPPOSED to be blank!")</f>
        <v>String Length = 30 and it's SUPPOSED to be blank!</v>
      </c>
      <c r="I27" s="134" t="s">
        <v>530</v>
      </c>
    </row>
    <row r="28" spans="1:9" ht="30" x14ac:dyDescent="0.25">
      <c r="A28" s="135" t="s">
        <v>495</v>
      </c>
      <c r="B28" s="136" t="s">
        <v>304</v>
      </c>
      <c r="C28" s="136" t="s">
        <v>516</v>
      </c>
      <c r="D28" s="136"/>
      <c r="E28" s="125"/>
      <c r="F28" s="137" t="s">
        <v>517</v>
      </c>
      <c r="G28" s="137" t="s">
        <v>501</v>
      </c>
      <c r="H28" s="135" t="s">
        <v>532</v>
      </c>
      <c r="I28" s="134" t="s">
        <v>531</v>
      </c>
    </row>
    <row r="29" spans="1:9" x14ac:dyDescent="0.25">
      <c r="A29" s="135" t="s">
        <v>495</v>
      </c>
      <c r="B29" s="136"/>
      <c r="C29" s="136"/>
      <c r="D29" s="136" t="s">
        <v>311</v>
      </c>
      <c r="E29" s="125"/>
      <c r="F29" s="137" t="s">
        <v>518</v>
      </c>
      <c r="G29" s="137" t="s">
        <v>194</v>
      </c>
      <c r="H29" s="135"/>
      <c r="I29" s="134"/>
    </row>
    <row r="30" spans="1:9" x14ac:dyDescent="0.25">
      <c r="A30" s="135" t="s">
        <v>495</v>
      </c>
      <c r="B30" s="136"/>
      <c r="C30" s="136"/>
      <c r="D30" s="136" t="s">
        <v>333</v>
      </c>
      <c r="E30" s="125"/>
      <c r="F30" s="137">
        <v>39</v>
      </c>
      <c r="G30" s="137" t="s">
        <v>194</v>
      </c>
      <c r="H30" s="135"/>
      <c r="I30" s="134"/>
    </row>
    <row r="31" spans="1:9" x14ac:dyDescent="0.25">
      <c r="A31" s="135" t="s">
        <v>561</v>
      </c>
      <c r="B31" s="136" t="s">
        <v>304</v>
      </c>
      <c r="C31" s="136" t="s">
        <v>533</v>
      </c>
      <c r="D31" s="136"/>
      <c r="E31" s="125"/>
      <c r="F31" s="137" t="s">
        <v>534</v>
      </c>
      <c r="G31" s="137" t="s">
        <v>535</v>
      </c>
      <c r="H31" s="135"/>
      <c r="I31" s="133"/>
    </row>
    <row r="32" spans="1:9" x14ac:dyDescent="0.25">
      <c r="A32" s="135" t="s">
        <v>561</v>
      </c>
      <c r="B32" s="136"/>
      <c r="C32" s="136"/>
      <c r="D32" s="136" t="s">
        <v>348</v>
      </c>
      <c r="E32" s="136"/>
      <c r="F32" s="137" t="s">
        <v>536</v>
      </c>
      <c r="G32" s="137" t="s">
        <v>537</v>
      </c>
      <c r="H32" s="135" t="s">
        <v>575</v>
      </c>
      <c r="I32" s="133" t="s">
        <v>562</v>
      </c>
    </row>
    <row r="33" spans="1:9" x14ac:dyDescent="0.25">
      <c r="A33" s="135" t="s">
        <v>561</v>
      </c>
      <c r="B33" s="136"/>
      <c r="C33" s="136"/>
      <c r="D33" s="136" t="s">
        <v>538</v>
      </c>
      <c r="E33" s="136"/>
      <c r="F33" s="137" t="s">
        <v>322</v>
      </c>
      <c r="G33" s="137" t="s">
        <v>539</v>
      </c>
      <c r="H33" s="135" t="s">
        <v>575</v>
      </c>
      <c r="I33" s="133" t="s">
        <v>563</v>
      </c>
    </row>
    <row r="34" spans="1:9" x14ac:dyDescent="0.25">
      <c r="A34" s="135" t="s">
        <v>561</v>
      </c>
      <c r="B34" s="136"/>
      <c r="C34" s="136"/>
      <c r="D34" s="136" t="s">
        <v>540</v>
      </c>
      <c r="E34" s="136"/>
      <c r="F34" s="137" t="s">
        <v>322</v>
      </c>
      <c r="G34" s="137" t="s">
        <v>194</v>
      </c>
      <c r="H34" s="135" t="s">
        <v>575</v>
      </c>
      <c r="I34" s="133" t="s">
        <v>564</v>
      </c>
    </row>
    <row r="35" spans="1:9" x14ac:dyDescent="0.25">
      <c r="A35" s="135" t="s">
        <v>561</v>
      </c>
      <c r="B35" s="136"/>
      <c r="C35" s="136"/>
      <c r="D35" s="136" t="s">
        <v>541</v>
      </c>
      <c r="E35" s="136"/>
      <c r="F35" s="137" t="s">
        <v>322</v>
      </c>
      <c r="G35" s="137" t="s">
        <v>194</v>
      </c>
      <c r="H35" s="135" t="s">
        <v>575</v>
      </c>
      <c r="I35" s="133" t="s">
        <v>565</v>
      </c>
    </row>
    <row r="36" spans="1:9" x14ac:dyDescent="0.25">
      <c r="A36" s="135" t="s">
        <v>561</v>
      </c>
      <c r="B36" s="136"/>
      <c r="C36" s="136"/>
      <c r="D36" s="136" t="s">
        <v>542</v>
      </c>
      <c r="E36" s="136"/>
      <c r="F36" s="137" t="s">
        <v>322</v>
      </c>
      <c r="G36" s="137" t="s">
        <v>194</v>
      </c>
      <c r="H36" s="135" t="s">
        <v>575</v>
      </c>
      <c r="I36" s="133" t="s">
        <v>566</v>
      </c>
    </row>
    <row r="37" spans="1:9" ht="30" x14ac:dyDescent="0.25">
      <c r="A37" s="135" t="s">
        <v>561</v>
      </c>
      <c r="B37" s="136"/>
      <c r="C37" s="136"/>
      <c r="D37" s="136" t="s">
        <v>543</v>
      </c>
      <c r="E37" s="136"/>
      <c r="F37" s="137">
        <v>0</v>
      </c>
      <c r="G37" s="137" t="s">
        <v>189</v>
      </c>
      <c r="H37" s="135" t="s">
        <v>575</v>
      </c>
      <c r="I37" s="133" t="s">
        <v>567</v>
      </c>
    </row>
    <row r="38" spans="1:9" ht="30" x14ac:dyDescent="0.25">
      <c r="A38" s="135" t="s">
        <v>561</v>
      </c>
      <c r="B38" s="136"/>
      <c r="C38" s="136"/>
      <c r="D38" s="136" t="s">
        <v>544</v>
      </c>
      <c r="E38" s="136"/>
      <c r="F38" s="137" t="s">
        <v>536</v>
      </c>
      <c r="G38" s="137" t="s">
        <v>537</v>
      </c>
      <c r="H38" s="135" t="s">
        <v>575</v>
      </c>
      <c r="I38" s="133" t="s">
        <v>568</v>
      </c>
    </row>
    <row r="39" spans="1:9" x14ac:dyDescent="0.25">
      <c r="A39" s="135" t="s">
        <v>561</v>
      </c>
      <c r="B39" s="136"/>
      <c r="C39" s="136"/>
      <c r="D39" s="136" t="s">
        <v>545</v>
      </c>
      <c r="E39" s="136"/>
      <c r="F39" s="137" t="s">
        <v>546</v>
      </c>
      <c r="G39" s="137" t="s">
        <v>194</v>
      </c>
      <c r="H39" s="135"/>
      <c r="I39" s="133"/>
    </row>
    <row r="40" spans="1:9" x14ac:dyDescent="0.25">
      <c r="A40" s="135" t="s">
        <v>561</v>
      </c>
      <c r="B40" s="136"/>
      <c r="C40" s="136"/>
      <c r="D40" s="136" t="s">
        <v>547</v>
      </c>
      <c r="E40" s="136"/>
      <c r="F40" s="137">
        <v>0</v>
      </c>
      <c r="G40" s="137" t="s">
        <v>189</v>
      </c>
      <c r="H40" s="135"/>
      <c r="I40" s="133"/>
    </row>
    <row r="41" spans="1:9" x14ac:dyDescent="0.25">
      <c r="A41" s="135" t="s">
        <v>561</v>
      </c>
      <c r="B41" s="136"/>
      <c r="C41" s="136"/>
      <c r="D41" s="136" t="s">
        <v>548</v>
      </c>
      <c r="E41" s="136"/>
      <c r="F41" s="137" t="s">
        <v>322</v>
      </c>
      <c r="G41" s="137" t="s">
        <v>194</v>
      </c>
      <c r="H41" s="135"/>
      <c r="I41" s="133"/>
    </row>
    <row r="42" spans="1:9" x14ac:dyDescent="0.25">
      <c r="A42" s="135" t="s">
        <v>561</v>
      </c>
      <c r="B42" s="136"/>
      <c r="C42" s="136"/>
      <c r="D42" s="136" t="s">
        <v>549</v>
      </c>
      <c r="E42" s="136"/>
      <c r="F42" s="137" t="s">
        <v>322</v>
      </c>
      <c r="G42" s="137" t="s">
        <v>194</v>
      </c>
      <c r="H42" s="135"/>
      <c r="I42" s="133"/>
    </row>
    <row r="43" spans="1:9" x14ac:dyDescent="0.25">
      <c r="A43" s="135" t="s">
        <v>561</v>
      </c>
      <c r="B43" s="136"/>
      <c r="C43" s="136"/>
      <c r="D43" s="136" t="s">
        <v>550</v>
      </c>
      <c r="E43" s="136"/>
      <c r="F43" s="137" t="s">
        <v>322</v>
      </c>
      <c r="G43" s="137" t="s">
        <v>551</v>
      </c>
      <c r="H43" s="135"/>
      <c r="I43" s="133"/>
    </row>
    <row r="44" spans="1:9" x14ac:dyDescent="0.25">
      <c r="A44" s="135" t="s">
        <v>561</v>
      </c>
      <c r="B44" s="136"/>
      <c r="C44" s="136"/>
      <c r="D44" s="136" t="s">
        <v>552</v>
      </c>
      <c r="E44" s="136"/>
      <c r="F44" s="137" t="s">
        <v>322</v>
      </c>
      <c r="G44" s="137" t="s">
        <v>553</v>
      </c>
      <c r="H44" s="135"/>
      <c r="I44" s="133"/>
    </row>
    <row r="45" spans="1:9" x14ac:dyDescent="0.25">
      <c r="A45" s="135" t="s">
        <v>561</v>
      </c>
      <c r="B45" s="136"/>
      <c r="C45" s="136"/>
      <c r="D45" s="136" t="s">
        <v>43</v>
      </c>
      <c r="E45" s="136"/>
      <c r="F45" s="137" t="s">
        <v>322</v>
      </c>
      <c r="G45" s="137" t="s">
        <v>539</v>
      </c>
      <c r="H45" s="135"/>
      <c r="I45" s="133"/>
    </row>
    <row r="46" spans="1:9" x14ac:dyDescent="0.25">
      <c r="A46" s="135" t="s">
        <v>561</v>
      </c>
      <c r="B46" s="136" t="s">
        <v>331</v>
      </c>
      <c r="C46" s="136"/>
      <c r="D46" s="136" t="s">
        <v>332</v>
      </c>
      <c r="E46" s="136"/>
      <c r="F46" s="137"/>
      <c r="G46" s="137"/>
      <c r="H46" s="135"/>
      <c r="I46" s="133"/>
    </row>
    <row r="47" spans="1:9" x14ac:dyDescent="0.25">
      <c r="A47" s="135" t="s">
        <v>561</v>
      </c>
      <c r="B47" s="136"/>
      <c r="C47" s="136"/>
      <c r="D47" s="136" t="s">
        <v>554</v>
      </c>
      <c r="E47" s="136"/>
      <c r="F47" s="137" t="s">
        <v>355</v>
      </c>
      <c r="G47" s="137" t="s">
        <v>194</v>
      </c>
      <c r="H47" s="135" t="s">
        <v>574</v>
      </c>
      <c r="I47" s="133" t="s">
        <v>569</v>
      </c>
    </row>
    <row r="48" spans="1:9" x14ac:dyDescent="0.25">
      <c r="A48" s="135" t="s">
        <v>561</v>
      </c>
      <c r="B48" s="136"/>
      <c r="C48" s="136"/>
      <c r="D48" s="136" t="s">
        <v>555</v>
      </c>
      <c r="E48" s="136"/>
      <c r="F48" s="137">
        <v>39</v>
      </c>
      <c r="G48" s="137" t="s">
        <v>194</v>
      </c>
      <c r="H48" s="135" t="s">
        <v>574</v>
      </c>
      <c r="I48" s="133" t="s">
        <v>570</v>
      </c>
    </row>
    <row r="49" spans="1:9" x14ac:dyDescent="0.25">
      <c r="A49" s="135" t="s">
        <v>561</v>
      </c>
      <c r="B49" s="136"/>
      <c r="C49" s="136"/>
      <c r="D49" s="136" t="s">
        <v>556</v>
      </c>
      <c r="E49" s="136"/>
      <c r="F49" s="137">
        <v>1</v>
      </c>
      <c r="G49" s="137" t="s">
        <v>189</v>
      </c>
      <c r="H49" s="135" t="s">
        <v>574</v>
      </c>
      <c r="I49" s="133" t="s">
        <v>571</v>
      </c>
    </row>
    <row r="50" spans="1:9" x14ac:dyDescent="0.25">
      <c r="A50" s="135" t="s">
        <v>561</v>
      </c>
      <c r="B50" s="136"/>
      <c r="C50" s="136"/>
      <c r="D50" s="136" t="s">
        <v>557</v>
      </c>
      <c r="E50" s="136"/>
      <c r="F50" s="137" t="s">
        <v>322</v>
      </c>
      <c r="G50" s="137" t="s">
        <v>194</v>
      </c>
      <c r="H50" s="135" t="s">
        <v>574</v>
      </c>
      <c r="I50" s="133" t="s">
        <v>572</v>
      </c>
    </row>
    <row r="51" spans="1:9" x14ac:dyDescent="0.25">
      <c r="A51" s="135" t="s">
        <v>561</v>
      </c>
      <c r="B51" s="136" t="s">
        <v>304</v>
      </c>
      <c r="C51" s="136"/>
      <c r="D51" s="136" t="s">
        <v>558</v>
      </c>
      <c r="E51" s="136"/>
      <c r="F51" s="137" t="s">
        <v>511</v>
      </c>
      <c r="G51" s="137" t="s">
        <v>559</v>
      </c>
      <c r="H51" s="135" t="s">
        <v>574</v>
      </c>
      <c r="I51" s="133" t="s">
        <v>573</v>
      </c>
    </row>
    <row r="52" spans="1:9" x14ac:dyDescent="0.25">
      <c r="A52" s="135" t="s">
        <v>561</v>
      </c>
      <c r="B52" s="136"/>
      <c r="C52" s="136"/>
      <c r="D52" s="136" t="s">
        <v>311</v>
      </c>
      <c r="E52" s="136"/>
      <c r="F52" s="137" t="s">
        <v>509</v>
      </c>
      <c r="G52" s="137" t="s">
        <v>560</v>
      </c>
      <c r="H52" s="135"/>
      <c r="I52" s="133"/>
    </row>
    <row r="53" spans="1:9" x14ac:dyDescent="0.25">
      <c r="A53" s="135" t="s">
        <v>577</v>
      </c>
      <c r="B53" s="136" t="s">
        <v>304</v>
      </c>
      <c r="C53" s="136" t="s">
        <v>533</v>
      </c>
      <c r="D53" s="136"/>
      <c r="E53" s="136" t="s">
        <v>534</v>
      </c>
      <c r="F53" s="137" t="s">
        <v>535</v>
      </c>
      <c r="G53" s="136"/>
      <c r="H53" s="135"/>
      <c r="I53" s="133"/>
    </row>
    <row r="54" spans="1:9" x14ac:dyDescent="0.25">
      <c r="A54" s="135" t="s">
        <v>577</v>
      </c>
      <c r="B54" s="136"/>
      <c r="C54" s="136"/>
      <c r="D54" s="136" t="s">
        <v>348</v>
      </c>
      <c r="E54" s="136" t="s">
        <v>576</v>
      </c>
      <c r="F54" s="137" t="s">
        <v>537</v>
      </c>
      <c r="G54" s="136"/>
      <c r="H54" s="135"/>
      <c r="I54" s="133"/>
    </row>
    <row r="55" spans="1:9" x14ac:dyDescent="0.25">
      <c r="A55" s="135" t="s">
        <v>577</v>
      </c>
      <c r="B55" s="136"/>
      <c r="C55" s="136"/>
      <c r="D55" s="136" t="s">
        <v>538</v>
      </c>
      <c r="E55" s="136"/>
      <c r="F55" s="137" t="s">
        <v>322</v>
      </c>
      <c r="G55" s="136" t="s">
        <v>539</v>
      </c>
      <c r="H55" s="135"/>
      <c r="I55" s="133"/>
    </row>
    <row r="56" spans="1:9" x14ac:dyDescent="0.25">
      <c r="A56" s="135" t="s">
        <v>577</v>
      </c>
      <c r="B56" s="136"/>
      <c r="C56" s="136"/>
      <c r="D56" s="136" t="s">
        <v>540</v>
      </c>
      <c r="E56" s="136"/>
      <c r="F56" s="137" t="s">
        <v>322</v>
      </c>
      <c r="G56" s="136" t="s">
        <v>194</v>
      </c>
      <c r="H56" s="135"/>
      <c r="I56" s="133"/>
    </row>
    <row r="57" spans="1:9" x14ac:dyDescent="0.25">
      <c r="A57" s="135" t="s">
        <v>577</v>
      </c>
      <c r="B57" s="136"/>
      <c r="C57" s="136"/>
      <c r="D57" s="136" t="s">
        <v>541</v>
      </c>
      <c r="E57" s="136"/>
      <c r="F57" s="137">
        <v>39</v>
      </c>
      <c r="G57" s="136" t="s">
        <v>194</v>
      </c>
      <c r="H57" s="135"/>
      <c r="I57" s="133"/>
    </row>
    <row r="58" spans="1:9" x14ac:dyDescent="0.25">
      <c r="A58" s="135" t="s">
        <v>577</v>
      </c>
      <c r="B58" s="136"/>
      <c r="C58" s="136"/>
      <c r="D58" s="136" t="s">
        <v>542</v>
      </c>
      <c r="E58" s="136"/>
      <c r="F58" s="137" t="s">
        <v>355</v>
      </c>
      <c r="G58" s="136" t="s">
        <v>194</v>
      </c>
      <c r="H58" s="135"/>
      <c r="I58" s="133"/>
    </row>
    <row r="59" spans="1:9" x14ac:dyDescent="0.25">
      <c r="A59" s="135" t="s">
        <v>577</v>
      </c>
      <c r="B59" s="136"/>
      <c r="C59" s="136"/>
      <c r="D59" s="136" t="s">
        <v>543</v>
      </c>
      <c r="E59" s="136"/>
      <c r="F59" s="137">
        <v>1</v>
      </c>
      <c r="G59" s="136" t="s">
        <v>189</v>
      </c>
      <c r="H59" s="135"/>
      <c r="I59" s="133"/>
    </row>
    <row r="60" spans="1:9" x14ac:dyDescent="0.25">
      <c r="A60" s="135" t="s">
        <v>577</v>
      </c>
      <c r="B60" s="136"/>
      <c r="C60" s="136"/>
      <c r="D60" s="136" t="s">
        <v>544</v>
      </c>
      <c r="E60" s="136"/>
      <c r="F60" s="137" t="s">
        <v>576</v>
      </c>
      <c r="G60" s="136" t="s">
        <v>537</v>
      </c>
      <c r="H60" s="135"/>
      <c r="I60" s="133"/>
    </row>
    <row r="61" spans="1:9" x14ac:dyDescent="0.25">
      <c r="A61" s="135" t="s">
        <v>577</v>
      </c>
      <c r="B61" s="136"/>
      <c r="C61" s="136"/>
      <c r="D61" s="136" t="s">
        <v>545</v>
      </c>
      <c r="E61" s="136"/>
      <c r="F61" s="137" t="s">
        <v>546</v>
      </c>
      <c r="G61" s="136" t="s">
        <v>194</v>
      </c>
      <c r="H61" s="135"/>
      <c r="I61" s="133"/>
    </row>
    <row r="62" spans="1:9" x14ac:dyDescent="0.25">
      <c r="A62" s="135" t="s">
        <v>577</v>
      </c>
      <c r="B62" s="136"/>
      <c r="C62" s="136"/>
      <c r="D62" s="136" t="s">
        <v>547</v>
      </c>
      <c r="E62" s="136"/>
      <c r="F62" s="137">
        <v>1</v>
      </c>
      <c r="G62" s="136" t="s">
        <v>189</v>
      </c>
      <c r="H62" s="135"/>
      <c r="I62" s="133"/>
    </row>
    <row r="63" spans="1:9" x14ac:dyDescent="0.25">
      <c r="A63" s="135" t="s">
        <v>577</v>
      </c>
      <c r="B63" s="136"/>
      <c r="C63" s="136"/>
      <c r="D63" s="136" t="s">
        <v>548</v>
      </c>
      <c r="E63" s="136"/>
      <c r="F63" s="137">
        <v>39</v>
      </c>
      <c r="G63" s="136" t="s">
        <v>194</v>
      </c>
      <c r="H63" s="135"/>
      <c r="I63" s="133"/>
    </row>
    <row r="64" spans="1:9" x14ac:dyDescent="0.25">
      <c r="A64" s="135" t="s">
        <v>577</v>
      </c>
      <c r="B64" s="136"/>
      <c r="C64" s="136"/>
      <c r="D64" s="136" t="s">
        <v>549</v>
      </c>
      <c r="E64" s="136"/>
      <c r="F64" s="137" t="s">
        <v>355</v>
      </c>
      <c r="G64" s="136" t="s">
        <v>194</v>
      </c>
      <c r="H64" s="135"/>
      <c r="I64" s="133"/>
    </row>
    <row r="65" spans="1:9" x14ac:dyDescent="0.25">
      <c r="A65" s="135" t="s">
        <v>577</v>
      </c>
      <c r="B65" s="136"/>
      <c r="C65" s="136"/>
      <c r="D65" s="136" t="s">
        <v>550</v>
      </c>
      <c r="E65" s="136"/>
      <c r="F65" s="137" t="s">
        <v>322</v>
      </c>
      <c r="G65" s="136" t="s">
        <v>551</v>
      </c>
      <c r="H65" s="135"/>
      <c r="I65" s="133"/>
    </row>
    <row r="66" spans="1:9" x14ac:dyDescent="0.25">
      <c r="A66" s="135" t="s">
        <v>577</v>
      </c>
      <c r="B66" s="136" t="s">
        <v>331</v>
      </c>
      <c r="C66" s="136"/>
      <c r="D66" s="136" t="s">
        <v>552</v>
      </c>
      <c r="E66" s="136"/>
      <c r="F66" s="137" t="s">
        <v>511</v>
      </c>
      <c r="G66" s="136" t="s">
        <v>559</v>
      </c>
      <c r="H66" s="135"/>
      <c r="I66" s="133"/>
    </row>
    <row r="67" spans="1:9" s="128" customFormat="1" x14ac:dyDescent="0.25">
      <c r="A67" s="135"/>
      <c r="B67" s="136"/>
      <c r="C67" s="136"/>
      <c r="D67" s="136"/>
      <c r="E67" s="136" t="s">
        <v>311</v>
      </c>
      <c r="F67" s="137" t="s">
        <v>509</v>
      </c>
      <c r="G67" s="136" t="s">
        <v>560</v>
      </c>
      <c r="H67" s="135"/>
      <c r="I67" s="133"/>
    </row>
    <row r="68" spans="1:9" x14ac:dyDescent="0.25">
      <c r="A68" s="135" t="s">
        <v>577</v>
      </c>
      <c r="B68" s="136"/>
      <c r="C68" s="136"/>
      <c r="D68" s="136" t="s">
        <v>43</v>
      </c>
      <c r="E68" s="136"/>
      <c r="F68" s="137">
        <v>39</v>
      </c>
      <c r="G68" s="136" t="s">
        <v>560</v>
      </c>
      <c r="H68" s="135"/>
      <c r="I68" s="133"/>
    </row>
    <row r="69" spans="1:9" x14ac:dyDescent="0.25">
      <c r="A69" s="135" t="s">
        <v>577</v>
      </c>
      <c r="B69" s="136" t="s">
        <v>331</v>
      </c>
      <c r="C69" s="136"/>
      <c r="D69" s="136" t="s">
        <v>332</v>
      </c>
      <c r="E69" s="136"/>
      <c r="F69" s="137"/>
      <c r="G69" s="136"/>
      <c r="H69" s="135"/>
      <c r="I69" s="133"/>
    </row>
    <row r="70" spans="1:9" x14ac:dyDescent="0.25">
      <c r="A70" s="135" t="s">
        <v>577</v>
      </c>
      <c r="B70" s="136"/>
      <c r="C70" s="136"/>
      <c r="D70" s="136" t="s">
        <v>554</v>
      </c>
      <c r="E70" s="136"/>
      <c r="F70" s="137" t="s">
        <v>355</v>
      </c>
      <c r="G70" s="136" t="s">
        <v>194</v>
      </c>
      <c r="H70" s="135"/>
      <c r="I70" s="133"/>
    </row>
    <row r="71" spans="1:9" x14ac:dyDescent="0.25">
      <c r="A71" s="135" t="s">
        <v>577</v>
      </c>
      <c r="B71" s="136"/>
      <c r="C71" s="136"/>
      <c r="D71" s="136" t="s">
        <v>555</v>
      </c>
      <c r="E71" s="136"/>
      <c r="F71" s="137">
        <v>39</v>
      </c>
      <c r="G71" s="136" t="s">
        <v>194</v>
      </c>
      <c r="H71" s="135"/>
      <c r="I71" s="133"/>
    </row>
    <row r="72" spans="1:9" x14ac:dyDescent="0.25">
      <c r="A72" s="135" t="s">
        <v>577</v>
      </c>
      <c r="B72" s="136"/>
      <c r="C72" s="136"/>
      <c r="D72" s="136" t="s">
        <v>556</v>
      </c>
      <c r="E72" s="136"/>
      <c r="F72" s="137">
        <v>1</v>
      </c>
      <c r="G72" s="136" t="s">
        <v>189</v>
      </c>
      <c r="H72" s="135"/>
      <c r="I72" s="133"/>
    </row>
    <row r="73" spans="1:9" x14ac:dyDescent="0.25">
      <c r="A73" s="135" t="s">
        <v>577</v>
      </c>
      <c r="B73" s="136"/>
      <c r="C73" s="136"/>
      <c r="D73" s="136" t="s">
        <v>557</v>
      </c>
      <c r="E73" s="136"/>
      <c r="F73" s="137" t="s">
        <v>322</v>
      </c>
      <c r="G73" s="136" t="s">
        <v>194</v>
      </c>
      <c r="H73" s="135"/>
      <c r="I73" s="133"/>
    </row>
    <row r="74" spans="1:9" x14ac:dyDescent="0.25">
      <c r="A74" s="135" t="s">
        <v>577</v>
      </c>
      <c r="B74" s="136" t="s">
        <v>304</v>
      </c>
      <c r="C74" s="136"/>
      <c r="D74" s="136" t="s">
        <v>558</v>
      </c>
      <c r="E74" s="136"/>
      <c r="F74" s="137" t="s">
        <v>511</v>
      </c>
      <c r="G74" s="136" t="s">
        <v>559</v>
      </c>
      <c r="H74" s="135"/>
      <c r="I74" s="133"/>
    </row>
    <row r="75" spans="1:9" x14ac:dyDescent="0.25">
      <c r="A75" s="135" t="s">
        <v>577</v>
      </c>
      <c r="B75" s="136"/>
      <c r="C75" s="136"/>
      <c r="D75" s="136" t="s">
        <v>311</v>
      </c>
      <c r="E75" s="136"/>
      <c r="F75" s="137" t="s">
        <v>509</v>
      </c>
      <c r="G75" s="136" t="s">
        <v>560</v>
      </c>
      <c r="H75" s="135"/>
      <c r="I75" s="133"/>
    </row>
    <row r="76" spans="1:9" x14ac:dyDescent="0.25">
      <c r="A76" s="135" t="s">
        <v>578</v>
      </c>
      <c r="B76" s="136"/>
      <c r="C76" s="136"/>
      <c r="D76" s="136"/>
      <c r="E76" s="136"/>
      <c r="F76" s="137"/>
      <c r="G76" s="136"/>
      <c r="H76" s="135"/>
      <c r="I76" s="133" t="s">
        <v>562</v>
      </c>
    </row>
    <row r="77" spans="1:9" x14ac:dyDescent="0.25">
      <c r="A77" s="135" t="s">
        <v>578</v>
      </c>
      <c r="B77" s="136"/>
      <c r="C77" s="136"/>
      <c r="D77" s="136"/>
      <c r="E77" s="136"/>
      <c r="F77" s="137"/>
      <c r="G77" s="136"/>
      <c r="H77" s="135"/>
      <c r="I77" s="133" t="s">
        <v>563</v>
      </c>
    </row>
    <row r="78" spans="1:9" x14ac:dyDescent="0.25">
      <c r="A78" s="135" t="s">
        <v>578</v>
      </c>
      <c r="B78" s="136"/>
      <c r="C78" s="136"/>
      <c r="D78" s="136"/>
      <c r="E78" s="136"/>
      <c r="F78" s="137"/>
      <c r="G78" s="136"/>
      <c r="H78" s="135"/>
      <c r="I78" s="133" t="s">
        <v>564</v>
      </c>
    </row>
    <row r="79" spans="1:9" x14ac:dyDescent="0.25">
      <c r="A79" s="135" t="s">
        <v>578</v>
      </c>
      <c r="B79" s="136"/>
      <c r="C79" s="136"/>
      <c r="D79" s="136"/>
      <c r="E79" s="136"/>
      <c r="F79" s="137"/>
      <c r="G79" s="136"/>
      <c r="H79" s="135"/>
      <c r="I79" s="133" t="s">
        <v>565</v>
      </c>
    </row>
    <row r="80" spans="1:9" x14ac:dyDescent="0.25">
      <c r="A80" s="135" t="s">
        <v>578</v>
      </c>
      <c r="B80" s="136"/>
      <c r="C80" s="136"/>
      <c r="D80" s="136"/>
      <c r="E80" s="136"/>
      <c r="F80" s="137"/>
      <c r="G80" s="136"/>
      <c r="H80" s="135"/>
      <c r="I80" s="133" t="s">
        <v>566</v>
      </c>
    </row>
    <row r="81" spans="1:9" ht="30" x14ac:dyDescent="0.25">
      <c r="A81" s="135" t="s">
        <v>578</v>
      </c>
      <c r="B81" s="136"/>
      <c r="C81" s="136"/>
      <c r="D81" s="136"/>
      <c r="E81" s="136"/>
      <c r="F81" s="137"/>
      <c r="G81" s="136"/>
      <c r="H81" s="135"/>
      <c r="I81" s="133" t="s">
        <v>567</v>
      </c>
    </row>
    <row r="82" spans="1:9" ht="30" x14ac:dyDescent="0.25">
      <c r="A82" s="135" t="s">
        <v>578</v>
      </c>
      <c r="B82" s="136"/>
      <c r="C82" s="136"/>
      <c r="D82" s="136"/>
      <c r="E82" s="136"/>
      <c r="F82" s="137"/>
      <c r="G82" s="136"/>
      <c r="H82" s="135"/>
      <c r="I82" s="133" t="s">
        <v>568</v>
      </c>
    </row>
    <row r="83" spans="1:9" x14ac:dyDescent="0.25">
      <c r="A83" s="135" t="s">
        <v>578</v>
      </c>
      <c r="B83" s="136" t="s">
        <v>304</v>
      </c>
      <c r="C83" s="136" t="s">
        <v>533</v>
      </c>
      <c r="D83" s="136"/>
      <c r="E83" s="136"/>
      <c r="F83" s="137" t="s">
        <v>534</v>
      </c>
      <c r="G83" s="137" t="s">
        <v>535</v>
      </c>
      <c r="H83" s="135"/>
      <c r="I83" s="133"/>
    </row>
    <row r="84" spans="1:9" x14ac:dyDescent="0.25">
      <c r="A84" s="135" t="s">
        <v>578</v>
      </c>
      <c r="B84" s="136"/>
      <c r="C84" s="136"/>
      <c r="D84" s="136" t="s">
        <v>348</v>
      </c>
      <c r="E84" s="136"/>
      <c r="F84" s="137" t="s">
        <v>536</v>
      </c>
      <c r="G84" s="137" t="s">
        <v>537</v>
      </c>
      <c r="H84" s="135"/>
      <c r="I84" s="133"/>
    </row>
    <row r="85" spans="1:9" x14ac:dyDescent="0.25">
      <c r="A85" s="135" t="s">
        <v>578</v>
      </c>
      <c r="B85" s="136"/>
      <c r="C85" s="136"/>
      <c r="D85" s="136" t="s">
        <v>538</v>
      </c>
      <c r="E85" s="136"/>
      <c r="F85" s="137" t="s">
        <v>322</v>
      </c>
      <c r="G85" s="137" t="s">
        <v>539</v>
      </c>
      <c r="H85" s="135"/>
      <c r="I85" s="133"/>
    </row>
    <row r="86" spans="1:9" x14ac:dyDescent="0.25">
      <c r="A86" s="135" t="s">
        <v>578</v>
      </c>
      <c r="B86" s="136"/>
      <c r="C86" s="136"/>
      <c r="D86" s="136" t="s">
        <v>540</v>
      </c>
      <c r="E86" s="136"/>
      <c r="F86" s="137" t="s">
        <v>322</v>
      </c>
      <c r="G86" s="137" t="s">
        <v>194</v>
      </c>
      <c r="H86" s="135"/>
      <c r="I86" s="133"/>
    </row>
    <row r="87" spans="1:9" x14ac:dyDescent="0.25">
      <c r="A87" s="135" t="s">
        <v>578</v>
      </c>
      <c r="B87" s="136"/>
      <c r="C87" s="136"/>
      <c r="D87" s="136" t="s">
        <v>541</v>
      </c>
      <c r="E87" s="136"/>
      <c r="F87" s="137" t="s">
        <v>322</v>
      </c>
      <c r="G87" s="137" t="s">
        <v>194</v>
      </c>
      <c r="H87" s="135"/>
      <c r="I87" s="133"/>
    </row>
    <row r="88" spans="1:9" x14ac:dyDescent="0.25">
      <c r="A88" s="135" t="s">
        <v>578</v>
      </c>
      <c r="B88" s="136"/>
      <c r="C88" s="136"/>
      <c r="D88" s="136" t="s">
        <v>542</v>
      </c>
      <c r="E88" s="136"/>
      <c r="F88" s="137" t="s">
        <v>322</v>
      </c>
      <c r="G88" s="137" t="s">
        <v>194</v>
      </c>
      <c r="H88" s="135"/>
      <c r="I88" s="133"/>
    </row>
    <row r="89" spans="1:9" x14ac:dyDescent="0.25">
      <c r="A89" s="135" t="s">
        <v>578</v>
      </c>
      <c r="B89" s="136"/>
      <c r="C89" s="136"/>
      <c r="D89" s="136" t="s">
        <v>543</v>
      </c>
      <c r="E89" s="136"/>
      <c r="F89" s="137">
        <v>0</v>
      </c>
      <c r="G89" s="137" t="s">
        <v>189</v>
      </c>
      <c r="H89" s="135"/>
      <c r="I89" s="133"/>
    </row>
    <row r="90" spans="1:9" x14ac:dyDescent="0.25">
      <c r="A90" s="135" t="s">
        <v>578</v>
      </c>
      <c r="B90" s="136"/>
      <c r="C90" s="136"/>
      <c r="D90" s="136" t="s">
        <v>544</v>
      </c>
      <c r="E90" s="136"/>
      <c r="F90" s="137" t="s">
        <v>536</v>
      </c>
      <c r="G90" s="137" t="s">
        <v>537</v>
      </c>
      <c r="H90" s="135"/>
      <c r="I90" s="133"/>
    </row>
    <row r="91" spans="1:9" x14ac:dyDescent="0.25">
      <c r="A91" s="135" t="s">
        <v>578</v>
      </c>
      <c r="B91" s="136"/>
      <c r="C91" s="136"/>
      <c r="D91" s="136" t="s">
        <v>545</v>
      </c>
      <c r="E91" s="136"/>
      <c r="F91" s="137" t="s">
        <v>546</v>
      </c>
      <c r="G91" s="137" t="s">
        <v>194</v>
      </c>
      <c r="H91" s="135"/>
      <c r="I91" s="133"/>
    </row>
    <row r="92" spans="1:9" x14ac:dyDescent="0.25">
      <c r="A92" s="135" t="s">
        <v>578</v>
      </c>
      <c r="B92" s="136"/>
      <c r="C92" s="136"/>
      <c r="D92" s="136" t="s">
        <v>547</v>
      </c>
      <c r="E92" s="136"/>
      <c r="F92" s="137">
        <v>0</v>
      </c>
      <c r="G92" s="137" t="s">
        <v>189</v>
      </c>
      <c r="H92" s="135"/>
      <c r="I92" s="133"/>
    </row>
    <row r="93" spans="1:9" x14ac:dyDescent="0.25">
      <c r="A93" s="135" t="s">
        <v>578</v>
      </c>
      <c r="B93" s="136"/>
      <c r="C93" s="136"/>
      <c r="D93" s="136" t="s">
        <v>548</v>
      </c>
      <c r="E93" s="136"/>
      <c r="F93" s="137" t="s">
        <v>322</v>
      </c>
      <c r="G93" s="137" t="s">
        <v>194</v>
      </c>
      <c r="H93" s="135"/>
      <c r="I93" s="133"/>
    </row>
    <row r="94" spans="1:9" x14ac:dyDescent="0.25">
      <c r="A94" s="135" t="s">
        <v>578</v>
      </c>
      <c r="B94" s="136"/>
      <c r="C94" s="136"/>
      <c r="D94" s="136" t="s">
        <v>549</v>
      </c>
      <c r="E94" s="136"/>
      <c r="F94" s="137" t="s">
        <v>322</v>
      </c>
      <c r="G94" s="137" t="s">
        <v>194</v>
      </c>
      <c r="H94" s="135"/>
      <c r="I94" s="133"/>
    </row>
    <row r="95" spans="1:9" x14ac:dyDescent="0.25">
      <c r="A95" s="135" t="s">
        <v>578</v>
      </c>
      <c r="B95" s="136"/>
      <c r="C95" s="136"/>
      <c r="D95" s="136" t="s">
        <v>550</v>
      </c>
      <c r="E95" s="136"/>
      <c r="F95" s="137" t="s">
        <v>322</v>
      </c>
      <c r="G95" s="137" t="s">
        <v>551</v>
      </c>
      <c r="H95" s="135"/>
      <c r="I95" s="133"/>
    </row>
    <row r="96" spans="1:9" x14ac:dyDescent="0.25">
      <c r="A96" s="135" t="s">
        <v>578</v>
      </c>
      <c r="B96" s="136" t="s">
        <v>304</v>
      </c>
      <c r="C96" s="136"/>
      <c r="D96" s="136" t="s">
        <v>552</v>
      </c>
      <c r="E96" s="136"/>
      <c r="F96" s="137" t="s">
        <v>511</v>
      </c>
      <c r="G96" s="137" t="s">
        <v>559</v>
      </c>
      <c r="H96" s="135"/>
      <c r="I96" s="133"/>
    </row>
    <row r="97" spans="1:9" x14ac:dyDescent="0.25">
      <c r="A97" s="135" t="s">
        <v>578</v>
      </c>
      <c r="B97" s="136"/>
      <c r="C97" s="136"/>
      <c r="D97" s="136"/>
      <c r="E97" s="136" t="s">
        <v>311</v>
      </c>
      <c r="F97" s="137" t="s">
        <v>509</v>
      </c>
      <c r="G97" s="137" t="s">
        <v>560</v>
      </c>
      <c r="H97" s="135"/>
      <c r="I97" s="133"/>
    </row>
    <row r="98" spans="1:9" x14ac:dyDescent="0.25">
      <c r="A98" s="135" t="s">
        <v>578</v>
      </c>
      <c r="B98" s="136"/>
      <c r="C98" s="136"/>
      <c r="D98" s="136" t="s">
        <v>43</v>
      </c>
      <c r="E98" s="136"/>
      <c r="F98" s="137" t="s">
        <v>322</v>
      </c>
      <c r="G98" s="137" t="s">
        <v>539</v>
      </c>
      <c r="H98" s="135"/>
      <c r="I98" s="133"/>
    </row>
    <row r="99" spans="1:9" x14ac:dyDescent="0.25">
      <c r="A99" s="135" t="s">
        <v>578</v>
      </c>
      <c r="B99" s="136" t="s">
        <v>331</v>
      </c>
      <c r="C99" s="136"/>
      <c r="D99" s="136" t="s">
        <v>332</v>
      </c>
      <c r="E99" s="136"/>
      <c r="F99" s="137"/>
      <c r="G99" s="137"/>
      <c r="H99" s="135"/>
      <c r="I99" s="133"/>
    </row>
    <row r="100" spans="1:9" x14ac:dyDescent="0.25">
      <c r="A100" s="135" t="s">
        <v>578</v>
      </c>
      <c r="B100" s="136"/>
      <c r="C100" s="136"/>
      <c r="D100" s="136" t="s">
        <v>554</v>
      </c>
      <c r="E100" s="136"/>
      <c r="F100" s="137" t="s">
        <v>579</v>
      </c>
      <c r="G100" s="137" t="s">
        <v>194</v>
      </c>
      <c r="H100" s="135"/>
      <c r="I100" s="133" t="s">
        <v>569</v>
      </c>
    </row>
    <row r="101" spans="1:9" x14ac:dyDescent="0.25">
      <c r="A101" s="135" t="s">
        <v>578</v>
      </c>
      <c r="B101" s="136"/>
      <c r="C101" s="136"/>
      <c r="D101" s="136" t="s">
        <v>555</v>
      </c>
      <c r="E101" s="136"/>
      <c r="F101" s="137" t="s">
        <v>580</v>
      </c>
      <c r="G101" s="137" t="s">
        <v>194</v>
      </c>
      <c r="H101" s="135"/>
      <c r="I101" s="133" t="s">
        <v>570</v>
      </c>
    </row>
    <row r="102" spans="1:9" x14ac:dyDescent="0.25">
      <c r="A102" s="135" t="s">
        <v>578</v>
      </c>
      <c r="B102" s="136"/>
      <c r="C102" s="136"/>
      <c r="D102" s="136" t="s">
        <v>556</v>
      </c>
      <c r="E102" s="136"/>
      <c r="F102" s="137">
        <v>2</v>
      </c>
      <c r="G102" s="137" t="s">
        <v>189</v>
      </c>
      <c r="H102" s="135"/>
      <c r="I102" s="133" t="s">
        <v>571</v>
      </c>
    </row>
    <row r="103" spans="1:9" x14ac:dyDescent="0.25">
      <c r="A103" s="135" t="s">
        <v>578</v>
      </c>
      <c r="B103" s="136"/>
      <c r="C103" s="136"/>
      <c r="D103" s="136" t="s">
        <v>557</v>
      </c>
      <c r="E103" s="136"/>
      <c r="F103" s="137" t="s">
        <v>322</v>
      </c>
      <c r="G103" s="137" t="s">
        <v>194</v>
      </c>
      <c r="H103" s="135"/>
      <c r="I103" s="133" t="s">
        <v>572</v>
      </c>
    </row>
    <row r="104" spans="1:9" x14ac:dyDescent="0.25">
      <c r="A104" s="135" t="s">
        <v>578</v>
      </c>
      <c r="B104" s="136" t="s">
        <v>304</v>
      </c>
      <c r="C104" s="136"/>
      <c r="D104" s="136" t="s">
        <v>558</v>
      </c>
      <c r="E104" s="136"/>
      <c r="F104" s="137" t="s">
        <v>511</v>
      </c>
      <c r="G104" s="137" t="s">
        <v>559</v>
      </c>
      <c r="H104" s="135"/>
      <c r="I104" s="133" t="s">
        <v>573</v>
      </c>
    </row>
    <row r="105" spans="1:9" x14ac:dyDescent="0.25">
      <c r="A105" s="135" t="s">
        <v>578</v>
      </c>
      <c r="B105" s="136"/>
      <c r="C105" s="136"/>
      <c r="D105" s="136"/>
      <c r="E105" s="136" t="s">
        <v>311</v>
      </c>
      <c r="F105" s="137" t="s">
        <v>514</v>
      </c>
      <c r="G105" s="137" t="s">
        <v>560</v>
      </c>
      <c r="H105" s="135"/>
      <c r="I105" s="133"/>
    </row>
    <row r="106" spans="1:9" x14ac:dyDescent="0.25">
      <c r="A106" s="135" t="s">
        <v>586</v>
      </c>
      <c r="B106" s="136" t="s">
        <v>304</v>
      </c>
      <c r="C106" s="136" t="s">
        <v>533</v>
      </c>
      <c r="D106" s="136" t="s">
        <v>533</v>
      </c>
      <c r="E106" s="136"/>
      <c r="F106" s="137" t="s">
        <v>534</v>
      </c>
      <c r="G106" s="137" t="s">
        <v>535</v>
      </c>
      <c r="H106" s="135"/>
      <c r="I106" s="133" t="s">
        <v>581</v>
      </c>
    </row>
    <row r="107" spans="1:9" x14ac:dyDescent="0.25">
      <c r="A107" s="135" t="s">
        <v>586</v>
      </c>
      <c r="B107" s="136"/>
      <c r="C107" s="136"/>
      <c r="D107" s="136" t="s">
        <v>348</v>
      </c>
      <c r="E107" s="136"/>
      <c r="F107" s="137" t="s">
        <v>576</v>
      </c>
      <c r="G107" s="137" t="s">
        <v>537</v>
      </c>
      <c r="H107" s="135"/>
      <c r="I107" s="133" t="s">
        <v>582</v>
      </c>
    </row>
    <row r="108" spans="1:9" x14ac:dyDescent="0.25">
      <c r="A108" s="135" t="s">
        <v>586</v>
      </c>
      <c r="B108" s="136"/>
      <c r="C108" s="136"/>
      <c r="D108" s="136" t="s">
        <v>538</v>
      </c>
      <c r="E108" s="136"/>
      <c r="F108" s="137" t="s">
        <v>322</v>
      </c>
      <c r="G108" s="137" t="s">
        <v>539</v>
      </c>
      <c r="H108" s="135"/>
      <c r="I108" s="133" t="s">
        <v>583</v>
      </c>
    </row>
    <row r="109" spans="1:9" x14ac:dyDescent="0.25">
      <c r="A109" s="135" t="s">
        <v>586</v>
      </c>
      <c r="B109" s="136"/>
      <c r="C109" s="136"/>
      <c r="D109" s="136" t="s">
        <v>540</v>
      </c>
      <c r="E109" s="136"/>
      <c r="F109" s="137" t="s">
        <v>322</v>
      </c>
      <c r="G109" s="137" t="s">
        <v>194</v>
      </c>
      <c r="H109" s="135"/>
      <c r="I109" s="133" t="s">
        <v>584</v>
      </c>
    </row>
    <row r="110" spans="1:9" ht="30" x14ac:dyDescent="0.25">
      <c r="A110" s="135" t="s">
        <v>586</v>
      </c>
      <c r="B110" s="136"/>
      <c r="C110" s="136"/>
      <c r="D110" s="136" t="s">
        <v>541</v>
      </c>
      <c r="E110" s="136"/>
      <c r="F110" s="137" t="s">
        <v>580</v>
      </c>
      <c r="G110" s="137" t="s">
        <v>194</v>
      </c>
      <c r="H110" s="135"/>
      <c r="I110" s="133" t="s">
        <v>585</v>
      </c>
    </row>
    <row r="111" spans="1:9" x14ac:dyDescent="0.25">
      <c r="A111" s="135" t="s">
        <v>586</v>
      </c>
      <c r="B111" s="136"/>
      <c r="C111" s="136"/>
      <c r="D111" s="136" t="s">
        <v>542</v>
      </c>
      <c r="E111" s="136"/>
      <c r="F111" s="137" t="s">
        <v>579</v>
      </c>
      <c r="G111" s="137" t="s">
        <v>194</v>
      </c>
      <c r="H111" s="135"/>
      <c r="I111" s="133"/>
    </row>
    <row r="112" spans="1:9" x14ac:dyDescent="0.25">
      <c r="A112" s="135" t="s">
        <v>586</v>
      </c>
      <c r="B112" s="136"/>
      <c r="C112" s="136"/>
      <c r="D112" s="136" t="s">
        <v>543</v>
      </c>
      <c r="E112" s="136"/>
      <c r="F112" s="137">
        <v>2</v>
      </c>
      <c r="G112" s="137" t="s">
        <v>189</v>
      </c>
      <c r="H112" s="135"/>
      <c r="I112" s="133"/>
    </row>
    <row r="113" spans="1:9" x14ac:dyDescent="0.25">
      <c r="A113" s="135" t="s">
        <v>586</v>
      </c>
      <c r="B113" s="136"/>
      <c r="C113" s="136"/>
      <c r="D113" s="136" t="s">
        <v>544</v>
      </c>
      <c r="E113" s="136"/>
      <c r="F113" s="137" t="s">
        <v>576</v>
      </c>
      <c r="G113" s="137" t="s">
        <v>537</v>
      </c>
      <c r="H113" s="135"/>
      <c r="I113" s="133"/>
    </row>
    <row r="114" spans="1:9" x14ac:dyDescent="0.25">
      <c r="A114" s="135" t="s">
        <v>586</v>
      </c>
      <c r="B114" s="136"/>
      <c r="C114" s="136"/>
      <c r="D114" s="136" t="s">
        <v>545</v>
      </c>
      <c r="E114" s="136"/>
      <c r="F114" s="137" t="s">
        <v>546</v>
      </c>
      <c r="G114" s="137" t="s">
        <v>194</v>
      </c>
      <c r="H114" s="135"/>
      <c r="I114" s="133"/>
    </row>
    <row r="115" spans="1:9" x14ac:dyDescent="0.25">
      <c r="A115" s="135" t="s">
        <v>586</v>
      </c>
      <c r="B115" s="136"/>
      <c r="C115" s="136"/>
      <c r="D115" s="136" t="s">
        <v>547</v>
      </c>
      <c r="E115" s="136"/>
      <c r="F115" s="137">
        <v>2</v>
      </c>
      <c r="G115" s="137" t="s">
        <v>189</v>
      </c>
      <c r="H115" s="135"/>
      <c r="I115" s="133"/>
    </row>
    <row r="116" spans="1:9" x14ac:dyDescent="0.25">
      <c r="A116" s="135" t="s">
        <v>586</v>
      </c>
      <c r="B116" s="136"/>
      <c r="C116" s="136"/>
      <c r="D116" s="136" t="s">
        <v>548</v>
      </c>
      <c r="E116" s="136"/>
      <c r="F116" s="137" t="s">
        <v>580</v>
      </c>
      <c r="G116" s="137" t="s">
        <v>194</v>
      </c>
      <c r="H116" s="135"/>
      <c r="I116" s="133"/>
    </row>
    <row r="117" spans="1:9" x14ac:dyDescent="0.25">
      <c r="A117" s="135" t="s">
        <v>586</v>
      </c>
      <c r="B117" s="136"/>
      <c r="C117" s="136"/>
      <c r="D117" s="136" t="s">
        <v>549</v>
      </c>
      <c r="E117" s="136"/>
      <c r="F117" s="137" t="s">
        <v>579</v>
      </c>
      <c r="G117" s="137" t="s">
        <v>194</v>
      </c>
      <c r="H117" s="135"/>
      <c r="I117" s="133"/>
    </row>
    <row r="118" spans="1:9" x14ac:dyDescent="0.25">
      <c r="A118" s="135" t="s">
        <v>586</v>
      </c>
      <c r="B118" s="136"/>
      <c r="C118" s="136"/>
      <c r="D118" s="136" t="s">
        <v>550</v>
      </c>
      <c r="E118" s="136"/>
      <c r="F118" s="137" t="s">
        <v>322</v>
      </c>
      <c r="G118" s="137" t="s">
        <v>551</v>
      </c>
      <c r="H118" s="135"/>
      <c r="I118" s="133"/>
    </row>
    <row r="119" spans="1:9" x14ac:dyDescent="0.25">
      <c r="A119" s="135" t="s">
        <v>586</v>
      </c>
      <c r="B119" s="136" t="s">
        <v>304</v>
      </c>
      <c r="C119" s="136"/>
      <c r="D119" s="136" t="s">
        <v>552</v>
      </c>
      <c r="E119" s="136"/>
      <c r="F119" s="137" t="s">
        <v>511</v>
      </c>
      <c r="G119" s="137" t="s">
        <v>559</v>
      </c>
      <c r="H119" s="135"/>
      <c r="I119" s="133"/>
    </row>
    <row r="120" spans="1:9" x14ac:dyDescent="0.25">
      <c r="A120" s="135" t="s">
        <v>586</v>
      </c>
      <c r="B120" s="136"/>
      <c r="C120" s="136"/>
      <c r="D120" s="136"/>
      <c r="E120" s="136" t="s">
        <v>311</v>
      </c>
      <c r="F120" s="137" t="s">
        <v>514</v>
      </c>
      <c r="G120" s="137" t="s">
        <v>560</v>
      </c>
      <c r="H120" s="135"/>
      <c r="I120" s="133"/>
    </row>
    <row r="121" spans="1:9" x14ac:dyDescent="0.25">
      <c r="A121" s="135" t="s">
        <v>586</v>
      </c>
      <c r="B121" s="136"/>
      <c r="C121" s="136"/>
      <c r="D121" s="136" t="s">
        <v>43</v>
      </c>
      <c r="E121" s="136"/>
      <c r="F121" s="137" t="s">
        <v>580</v>
      </c>
      <c r="G121" s="137" t="s">
        <v>560</v>
      </c>
      <c r="H121" s="135"/>
      <c r="I121" s="133"/>
    </row>
    <row r="122" spans="1:9" x14ac:dyDescent="0.25">
      <c r="A122" s="135" t="s">
        <v>586</v>
      </c>
      <c r="B122" s="136" t="s">
        <v>331</v>
      </c>
      <c r="C122" s="136"/>
      <c r="D122" s="136" t="s">
        <v>332</v>
      </c>
      <c r="E122" s="136"/>
      <c r="F122" s="137"/>
      <c r="G122" s="137"/>
      <c r="H122" s="135"/>
      <c r="I122" s="133"/>
    </row>
    <row r="123" spans="1:9" x14ac:dyDescent="0.25">
      <c r="A123" s="135" t="s">
        <v>586</v>
      </c>
      <c r="B123" s="136"/>
      <c r="C123" s="136"/>
      <c r="D123" s="136" t="s">
        <v>554</v>
      </c>
      <c r="E123" s="136"/>
      <c r="F123" s="137" t="s">
        <v>579</v>
      </c>
      <c r="G123" s="137" t="s">
        <v>194</v>
      </c>
      <c r="H123" s="135"/>
      <c r="I123" s="133"/>
    </row>
    <row r="124" spans="1:9" x14ac:dyDescent="0.25">
      <c r="A124" s="135" t="s">
        <v>586</v>
      </c>
      <c r="B124" s="136"/>
      <c r="C124" s="136"/>
      <c r="D124" s="136" t="s">
        <v>555</v>
      </c>
      <c r="E124" s="136"/>
      <c r="F124" s="137" t="s">
        <v>580</v>
      </c>
      <c r="G124" s="137" t="s">
        <v>194</v>
      </c>
      <c r="H124" s="135"/>
      <c r="I124" s="133"/>
    </row>
    <row r="125" spans="1:9" x14ac:dyDescent="0.25">
      <c r="A125" s="135" t="s">
        <v>586</v>
      </c>
      <c r="B125" s="136"/>
      <c r="C125" s="136"/>
      <c r="D125" s="136" t="s">
        <v>556</v>
      </c>
      <c r="E125" s="136"/>
      <c r="F125" s="137">
        <v>2</v>
      </c>
      <c r="G125" s="137" t="s">
        <v>189</v>
      </c>
      <c r="H125" s="135"/>
      <c r="I125" s="133"/>
    </row>
    <row r="126" spans="1:9" x14ac:dyDescent="0.25">
      <c r="A126" s="135" t="s">
        <v>586</v>
      </c>
      <c r="B126" s="136"/>
      <c r="C126" s="136"/>
      <c r="D126" s="136" t="s">
        <v>557</v>
      </c>
      <c r="E126" s="136"/>
      <c r="F126" s="137" t="s">
        <v>322</v>
      </c>
      <c r="G126" s="137" t="s">
        <v>194</v>
      </c>
      <c r="H126" s="135"/>
      <c r="I126" s="133"/>
    </row>
    <row r="127" spans="1:9" x14ac:dyDescent="0.25">
      <c r="A127" s="135" t="s">
        <v>586</v>
      </c>
      <c r="B127" s="136" t="s">
        <v>304</v>
      </c>
      <c r="C127" s="136"/>
      <c r="D127" s="136" t="s">
        <v>558</v>
      </c>
      <c r="E127" s="136"/>
      <c r="F127" s="137" t="s">
        <v>511</v>
      </c>
      <c r="G127" s="137" t="s">
        <v>559</v>
      </c>
      <c r="H127" s="135"/>
      <c r="I127" s="133"/>
    </row>
    <row r="128" spans="1:9" x14ac:dyDescent="0.25">
      <c r="A128" s="135" t="s">
        <v>586</v>
      </c>
      <c r="B128" s="136"/>
      <c r="C128" s="136"/>
      <c r="D128" s="136"/>
      <c r="E128" s="136" t="s">
        <v>311</v>
      </c>
      <c r="F128" s="137" t="s">
        <v>514</v>
      </c>
      <c r="G128" s="137" t="s">
        <v>560</v>
      </c>
      <c r="H128" s="135"/>
      <c r="I128" s="133"/>
    </row>
    <row r="129" spans="1:9" ht="30" x14ac:dyDescent="0.25">
      <c r="A129" s="135" t="s">
        <v>589</v>
      </c>
      <c r="B129" s="136"/>
      <c r="C129" s="136"/>
      <c r="D129" s="136" t="s">
        <v>590</v>
      </c>
      <c r="E129" s="136"/>
      <c r="F129" s="137">
        <v>12</v>
      </c>
      <c r="G129" s="137" t="s">
        <v>189</v>
      </c>
      <c r="H129" s="135" t="s">
        <v>588</v>
      </c>
      <c r="I129" s="133" t="s">
        <v>587</v>
      </c>
    </row>
    <row r="130" spans="1:9" x14ac:dyDescent="0.25">
      <c r="A130" s="135"/>
      <c r="B130" s="136"/>
      <c r="C130" s="136"/>
      <c r="D130" s="136"/>
      <c r="E130" s="136"/>
      <c r="F130" s="137"/>
      <c r="G130" s="136"/>
      <c r="H130" s="135"/>
      <c r="I130" s="133"/>
    </row>
    <row r="131" spans="1:9" x14ac:dyDescent="0.25">
      <c r="A131" s="135"/>
      <c r="B131" s="136"/>
      <c r="C131" s="136"/>
      <c r="D131" s="136"/>
      <c r="E131" s="136"/>
      <c r="F131" s="137"/>
      <c r="G131" s="136"/>
      <c r="H131" s="135"/>
      <c r="I131" s="133"/>
    </row>
    <row r="132" spans="1:9" x14ac:dyDescent="0.25">
      <c r="A132" s="135"/>
      <c r="B132" s="136"/>
      <c r="C132" s="136"/>
      <c r="D132" s="136"/>
      <c r="E132" s="136"/>
      <c r="F132" s="137"/>
      <c r="G132" s="136"/>
      <c r="H132" s="135"/>
      <c r="I132" s="133"/>
    </row>
    <row r="133" spans="1:9" x14ac:dyDescent="0.25">
      <c r="A133" s="135"/>
      <c r="B133" s="136"/>
      <c r="C133" s="136"/>
      <c r="D133" s="136"/>
      <c r="E133" s="136"/>
      <c r="F133" s="137"/>
      <c r="G133" s="136"/>
      <c r="H133" s="135"/>
      <c r="I133" s="133"/>
    </row>
    <row r="134" spans="1:9" x14ac:dyDescent="0.25">
      <c r="A134" s="135"/>
      <c r="B134" s="136"/>
      <c r="C134" s="136"/>
      <c r="D134" s="136"/>
      <c r="E134" s="136"/>
      <c r="F134" s="137"/>
      <c r="G134" s="136"/>
      <c r="H134" s="135"/>
      <c r="I134" s="133"/>
    </row>
    <row r="135" spans="1:9" x14ac:dyDescent="0.25">
      <c r="A135" s="135"/>
      <c r="B135" s="136"/>
      <c r="C135" s="136"/>
      <c r="D135" s="136"/>
      <c r="E135" s="136"/>
      <c r="F135" s="137"/>
      <c r="G135" s="136"/>
      <c r="H135" s="135"/>
      <c r="I135" s="133"/>
    </row>
    <row r="136" spans="1:9" x14ac:dyDescent="0.25">
      <c r="A136" s="135"/>
      <c r="B136" s="136"/>
      <c r="C136" s="136"/>
      <c r="D136" s="136"/>
      <c r="E136" s="136"/>
      <c r="F136" s="137"/>
      <c r="G136" s="136"/>
      <c r="H136" s="135"/>
      <c r="I136" s="133"/>
    </row>
    <row r="137" spans="1:9" x14ac:dyDescent="0.25">
      <c r="A137" s="135"/>
      <c r="B137" s="136"/>
      <c r="C137" s="136"/>
      <c r="D137" s="136"/>
      <c r="E137" s="136"/>
      <c r="F137" s="137"/>
      <c r="G137" s="136"/>
      <c r="H137" s="135"/>
      <c r="I137" s="133"/>
    </row>
    <row r="138" spans="1:9" x14ac:dyDescent="0.25">
      <c r="A138" s="135"/>
      <c r="B138" s="136"/>
      <c r="C138" s="136"/>
      <c r="D138" s="136"/>
      <c r="E138" s="136"/>
      <c r="F138" s="137"/>
      <c r="G138" s="136"/>
      <c r="H138" s="135"/>
      <c r="I138" s="133"/>
    </row>
    <row r="139" spans="1:9" x14ac:dyDescent="0.25">
      <c r="A139" s="135"/>
      <c r="B139" s="136"/>
      <c r="C139" s="136"/>
      <c r="D139" s="136"/>
      <c r="E139" s="136"/>
      <c r="F139" s="137"/>
      <c r="G139" s="136"/>
      <c r="H139" s="135"/>
      <c r="I139" s="133"/>
    </row>
    <row r="140" spans="1:9" x14ac:dyDescent="0.25">
      <c r="A140" s="135"/>
      <c r="B140" s="136"/>
      <c r="C140" s="136"/>
      <c r="D140" s="136"/>
      <c r="E140" s="136"/>
      <c r="F140" s="137"/>
      <c r="G140" s="136"/>
      <c r="H140" s="135"/>
      <c r="I140" s="133"/>
    </row>
    <row r="141" spans="1:9" x14ac:dyDescent="0.25">
      <c r="A141" s="135"/>
      <c r="B141" s="136"/>
      <c r="C141" s="136"/>
      <c r="D141" s="136"/>
      <c r="E141" s="136"/>
      <c r="F141" s="137"/>
      <c r="G141" s="136"/>
      <c r="H141" s="135"/>
      <c r="I141" s="133"/>
    </row>
    <row r="142" spans="1:9" x14ac:dyDescent="0.25">
      <c r="A142" s="135"/>
      <c r="B142" s="136"/>
      <c r="C142" s="136"/>
      <c r="D142" s="136"/>
      <c r="E142" s="136"/>
      <c r="F142" s="137"/>
      <c r="G142" s="136"/>
      <c r="H142" s="135"/>
      <c r="I142" s="133"/>
    </row>
    <row r="143" spans="1:9" x14ac:dyDescent="0.25">
      <c r="A143" s="135"/>
      <c r="B143" s="136"/>
      <c r="C143" s="136"/>
      <c r="D143" s="136"/>
      <c r="E143" s="136"/>
      <c r="F143" s="137"/>
      <c r="G143" s="136"/>
      <c r="H143" s="135"/>
      <c r="I143" s="133"/>
    </row>
    <row r="144" spans="1:9" x14ac:dyDescent="0.25">
      <c r="A144" s="135"/>
      <c r="B144" s="136"/>
      <c r="C144" s="136"/>
      <c r="D144" s="136"/>
      <c r="E144" s="136"/>
      <c r="F144" s="137"/>
      <c r="G144" s="136"/>
      <c r="H144" s="135"/>
      <c r="I144" s="133"/>
    </row>
    <row r="145" spans="1:9" x14ac:dyDescent="0.25">
      <c r="A145" s="135"/>
      <c r="B145" s="136"/>
      <c r="C145" s="136"/>
      <c r="D145" s="136"/>
      <c r="E145" s="136"/>
      <c r="F145" s="137"/>
      <c r="G145" s="136"/>
      <c r="H145" s="135"/>
      <c r="I145" s="133"/>
    </row>
    <row r="146" spans="1:9" x14ac:dyDescent="0.25">
      <c r="A146" s="135"/>
      <c r="B146" s="136"/>
      <c r="C146" s="136"/>
      <c r="D146" s="136"/>
      <c r="E146" s="136"/>
      <c r="F146" s="137"/>
      <c r="G146" s="136"/>
      <c r="H146" s="135"/>
      <c r="I146" s="133"/>
    </row>
    <row r="147" spans="1:9" x14ac:dyDescent="0.25">
      <c r="A147" s="135"/>
      <c r="B147" s="136"/>
      <c r="C147" s="136"/>
      <c r="D147" s="136"/>
      <c r="E147" s="136"/>
      <c r="F147" s="137"/>
      <c r="G147" s="136"/>
      <c r="H147" s="135"/>
      <c r="I147" s="133"/>
    </row>
    <row r="148" spans="1:9" x14ac:dyDescent="0.25">
      <c r="A148" s="135"/>
      <c r="B148" s="136"/>
      <c r="C148" s="136"/>
      <c r="D148" s="136"/>
      <c r="E148" s="136"/>
      <c r="F148" s="137"/>
      <c r="G148" s="136"/>
      <c r="H148" s="135"/>
      <c r="I148" s="133"/>
    </row>
    <row r="149" spans="1:9" x14ac:dyDescent="0.25">
      <c r="A149" s="135"/>
      <c r="B149" s="136"/>
      <c r="C149" s="136"/>
      <c r="D149" s="136"/>
      <c r="E149" s="136"/>
      <c r="F149" s="137"/>
      <c r="G149" s="136"/>
      <c r="H149" s="135"/>
      <c r="I149" s="133"/>
    </row>
    <row r="150" spans="1:9" x14ac:dyDescent="0.25">
      <c r="A150" s="135"/>
      <c r="B150" s="136"/>
      <c r="C150" s="136"/>
      <c r="D150" s="136"/>
      <c r="E150" s="136"/>
      <c r="F150" s="137"/>
      <c r="G150" s="136"/>
      <c r="H150" s="135"/>
      <c r="I150" s="133"/>
    </row>
    <row r="151" spans="1:9" x14ac:dyDescent="0.25">
      <c r="A151" s="135"/>
      <c r="B151" s="136"/>
      <c r="C151" s="136"/>
      <c r="D151" s="136"/>
      <c r="E151" s="136"/>
      <c r="F151" s="137"/>
      <c r="G151" s="136"/>
      <c r="H151" s="135"/>
      <c r="I151" s="133"/>
    </row>
    <row r="152" spans="1:9" x14ac:dyDescent="0.25">
      <c r="A152" s="135"/>
      <c r="B152" s="136"/>
      <c r="C152" s="136"/>
      <c r="D152" s="136"/>
      <c r="E152" s="136"/>
      <c r="F152" s="137"/>
      <c r="G152" s="136"/>
      <c r="H152" s="135"/>
      <c r="I152" s="133"/>
    </row>
    <row r="153" spans="1:9" x14ac:dyDescent="0.25">
      <c r="A153" s="135"/>
      <c r="B153" s="136"/>
      <c r="C153" s="136"/>
      <c r="D153" s="136"/>
      <c r="E153" s="136"/>
      <c r="F153" s="137"/>
      <c r="G153" s="136"/>
      <c r="H153" s="135"/>
      <c r="I153" s="133"/>
    </row>
    <row r="154" spans="1:9" x14ac:dyDescent="0.25">
      <c r="A154" s="135"/>
      <c r="B154" s="136"/>
      <c r="C154" s="136"/>
      <c r="D154" s="136"/>
      <c r="E154" s="136"/>
      <c r="F154" s="137"/>
      <c r="G154" s="136"/>
      <c r="H154" s="135"/>
      <c r="I154" s="133"/>
    </row>
    <row r="155" spans="1:9" x14ac:dyDescent="0.25">
      <c r="A155" s="135"/>
      <c r="B155" s="136"/>
      <c r="C155" s="136"/>
      <c r="D155" s="136"/>
      <c r="E155" s="136"/>
      <c r="F155" s="137"/>
      <c r="G155" s="136"/>
      <c r="H155" s="135"/>
      <c r="I155" s="133"/>
    </row>
    <row r="156" spans="1:9" x14ac:dyDescent="0.25">
      <c r="A156" s="135"/>
      <c r="B156" s="136"/>
      <c r="C156" s="136"/>
      <c r="D156" s="136"/>
      <c r="E156" s="136"/>
      <c r="F156" s="137"/>
      <c r="G156" s="136"/>
      <c r="H156" s="135"/>
      <c r="I156" s="133"/>
    </row>
    <row r="157" spans="1:9" x14ac:dyDescent="0.25">
      <c r="A157" s="135"/>
      <c r="B157" s="136"/>
      <c r="C157" s="136"/>
      <c r="D157" s="136"/>
      <c r="E157" s="136"/>
      <c r="F157" s="137"/>
      <c r="G157" s="136"/>
      <c r="H157" s="135"/>
      <c r="I157" s="133"/>
    </row>
    <row r="158" spans="1:9" x14ac:dyDescent="0.25">
      <c r="A158" s="135"/>
      <c r="B158" s="136"/>
      <c r="C158" s="136"/>
      <c r="D158" s="136"/>
      <c r="E158" s="136"/>
      <c r="F158" s="137"/>
      <c r="G158" s="136"/>
      <c r="H158" s="135"/>
      <c r="I158" s="133"/>
    </row>
    <row r="159" spans="1:9" x14ac:dyDescent="0.25">
      <c r="A159" s="135"/>
      <c r="B159" s="136"/>
      <c r="C159" s="136"/>
      <c r="D159" s="136"/>
      <c r="E159" s="136"/>
      <c r="F159" s="137"/>
      <c r="G159" s="136"/>
      <c r="H159" s="135"/>
      <c r="I159" s="133"/>
    </row>
    <row r="160" spans="1:9" x14ac:dyDescent="0.25">
      <c r="A160" s="135"/>
      <c r="B160" s="136"/>
      <c r="C160" s="136"/>
      <c r="D160" s="136"/>
      <c r="E160" s="136"/>
      <c r="F160" s="137"/>
      <c r="G160" s="136"/>
      <c r="H160" s="135"/>
      <c r="I160" s="133"/>
    </row>
    <row r="161" spans="1:9" x14ac:dyDescent="0.25">
      <c r="A161" s="135"/>
      <c r="B161" s="136"/>
      <c r="C161" s="136"/>
      <c r="D161" s="136"/>
      <c r="E161" s="136"/>
      <c r="F161" s="137"/>
      <c r="G161" s="136"/>
      <c r="H161" s="135"/>
      <c r="I161" s="133"/>
    </row>
    <row r="162" spans="1:9" x14ac:dyDescent="0.25">
      <c r="A162" s="135"/>
      <c r="B162" s="136"/>
      <c r="C162" s="136"/>
      <c r="D162" s="136"/>
      <c r="E162" s="136"/>
      <c r="F162" s="137"/>
      <c r="G162" s="136"/>
      <c r="H162" s="135"/>
      <c r="I162" s="133"/>
    </row>
    <row r="163" spans="1:9" x14ac:dyDescent="0.25">
      <c r="A163" s="135"/>
      <c r="B163" s="136"/>
      <c r="C163" s="136"/>
      <c r="D163" s="136"/>
      <c r="E163" s="136"/>
      <c r="F163" s="137"/>
      <c r="G163" s="136"/>
      <c r="H163" s="135"/>
      <c r="I163" s="133"/>
    </row>
    <row r="164" spans="1:9" x14ac:dyDescent="0.25">
      <c r="A164" s="135"/>
      <c r="B164" s="136"/>
      <c r="C164" s="136"/>
      <c r="D164" s="136"/>
      <c r="E164" s="136"/>
      <c r="F164" s="137"/>
      <c r="G164" s="136"/>
      <c r="H164" s="135"/>
      <c r="I164" s="133"/>
    </row>
    <row r="165" spans="1:9" x14ac:dyDescent="0.25">
      <c r="A165" s="135"/>
      <c r="B165" s="136"/>
      <c r="C165" s="136"/>
      <c r="D165" s="136"/>
      <c r="E165" s="136"/>
      <c r="F165" s="137"/>
      <c r="G165" s="136"/>
      <c r="H165" s="135"/>
      <c r="I165" s="133"/>
    </row>
    <row r="166" spans="1:9" x14ac:dyDescent="0.25">
      <c r="A166" s="135"/>
      <c r="B166" s="136"/>
      <c r="C166" s="136"/>
      <c r="D166" s="136"/>
      <c r="E166" s="136"/>
      <c r="F166" s="137"/>
      <c r="G166" s="136"/>
      <c r="H166" s="135"/>
      <c r="I166" s="133"/>
    </row>
    <row r="167" spans="1:9" x14ac:dyDescent="0.25">
      <c r="A167" s="135"/>
      <c r="B167" s="136"/>
      <c r="C167" s="136"/>
      <c r="D167" s="136"/>
      <c r="E167" s="136"/>
      <c r="F167" s="137"/>
      <c r="G167" s="136"/>
      <c r="H167" s="135"/>
      <c r="I167" s="133"/>
    </row>
    <row r="168" spans="1:9" x14ac:dyDescent="0.25">
      <c r="A168" s="135"/>
      <c r="B168" s="136"/>
      <c r="C168" s="136"/>
      <c r="D168" s="136"/>
      <c r="E168" s="136"/>
      <c r="F168" s="137"/>
      <c r="G168" s="136"/>
      <c r="H168" s="135"/>
      <c r="I168" s="133"/>
    </row>
    <row r="169" spans="1:9" x14ac:dyDescent="0.25">
      <c r="A169" s="135"/>
      <c r="B169" s="136"/>
      <c r="C169" s="136"/>
      <c r="D169" s="136"/>
      <c r="E169" s="136"/>
      <c r="F169" s="137"/>
      <c r="G169" s="136"/>
      <c r="H169" s="135"/>
      <c r="I169" s="133"/>
    </row>
    <row r="170" spans="1:9" x14ac:dyDescent="0.25">
      <c r="A170" s="135"/>
      <c r="B170" s="136"/>
      <c r="C170" s="136"/>
      <c r="D170" s="136"/>
      <c r="E170" s="136"/>
      <c r="F170" s="137"/>
      <c r="G170" s="136"/>
      <c r="H170" s="135"/>
      <c r="I170" s="133"/>
    </row>
    <row r="171" spans="1:9" x14ac:dyDescent="0.25">
      <c r="A171" s="135"/>
      <c r="B171" s="136"/>
      <c r="C171" s="136"/>
      <c r="D171" s="136"/>
      <c r="E171" s="136"/>
      <c r="F171" s="137"/>
      <c r="G171" s="136"/>
      <c r="H171" s="135"/>
      <c r="I171" s="133"/>
    </row>
    <row r="172" spans="1:9" x14ac:dyDescent="0.25">
      <c r="A172" s="135"/>
      <c r="B172" s="136"/>
      <c r="C172" s="136"/>
      <c r="D172" s="136"/>
      <c r="E172" s="136"/>
      <c r="F172" s="137"/>
      <c r="G172" s="136"/>
      <c r="H172" s="135"/>
      <c r="I172" s="133"/>
    </row>
    <row r="173" spans="1:9" x14ac:dyDescent="0.25">
      <c r="A173" s="135"/>
      <c r="B173" s="136"/>
      <c r="C173" s="136"/>
      <c r="D173" s="136"/>
      <c r="E173" s="136"/>
      <c r="F173" s="137"/>
      <c r="G173" s="136"/>
      <c r="H173" s="135"/>
      <c r="I173" s="133"/>
    </row>
    <row r="174" spans="1:9" x14ac:dyDescent="0.25">
      <c r="A174" s="135"/>
      <c r="B174" s="136"/>
      <c r="C174" s="136"/>
      <c r="D174" s="136"/>
      <c r="E174" s="136"/>
      <c r="F174" s="137"/>
      <c r="G174" s="136"/>
      <c r="H174" s="135"/>
      <c r="I174" s="133"/>
    </row>
    <row r="175" spans="1:9" x14ac:dyDescent="0.25">
      <c r="A175" s="135"/>
      <c r="B175" s="136"/>
      <c r="C175" s="136"/>
      <c r="D175" s="136"/>
      <c r="E175" s="136"/>
      <c r="F175" s="137"/>
      <c r="G175" s="136"/>
      <c r="H175" s="135"/>
      <c r="I175" s="133"/>
    </row>
    <row r="176" spans="1:9" x14ac:dyDescent="0.25">
      <c r="A176" s="135"/>
      <c r="B176" s="136"/>
      <c r="C176" s="136"/>
      <c r="D176" s="136"/>
      <c r="E176" s="136"/>
      <c r="F176" s="137"/>
      <c r="G176" s="136"/>
      <c r="H176" s="135"/>
      <c r="I176" s="133"/>
    </row>
    <row r="177" spans="1:9" x14ac:dyDescent="0.25">
      <c r="A177" s="135"/>
      <c r="B177" s="136"/>
      <c r="C177" s="136"/>
      <c r="D177" s="136"/>
      <c r="E177" s="136"/>
      <c r="F177" s="137"/>
      <c r="G177" s="136"/>
      <c r="H177" s="135"/>
      <c r="I177" s="133"/>
    </row>
    <row r="178" spans="1:9" x14ac:dyDescent="0.25">
      <c r="A178" s="135"/>
      <c r="B178" s="136"/>
      <c r="C178" s="136"/>
      <c r="D178" s="136"/>
      <c r="E178" s="136"/>
      <c r="F178" s="137"/>
      <c r="G178" s="136"/>
      <c r="H178" s="135"/>
      <c r="I178" s="133"/>
    </row>
    <row r="179" spans="1:9" x14ac:dyDescent="0.25">
      <c r="A179" s="135"/>
      <c r="B179" s="136"/>
      <c r="C179" s="136"/>
      <c r="D179" s="136"/>
      <c r="E179" s="136"/>
      <c r="F179" s="137"/>
      <c r="G179" s="136"/>
      <c r="H179" s="135"/>
      <c r="I179" s="133"/>
    </row>
    <row r="180" spans="1:9" x14ac:dyDescent="0.25">
      <c r="A180" s="135"/>
      <c r="B180" s="136"/>
      <c r="C180" s="136"/>
      <c r="D180" s="136"/>
      <c r="E180" s="136"/>
      <c r="F180" s="137"/>
      <c r="G180" s="136"/>
      <c r="H180" s="135"/>
      <c r="I180" s="133"/>
    </row>
    <row r="181" spans="1:9" x14ac:dyDescent="0.25">
      <c r="A181" s="135"/>
      <c r="B181" s="136"/>
      <c r="C181" s="136"/>
      <c r="D181" s="136"/>
      <c r="E181" s="136"/>
      <c r="F181" s="137"/>
      <c r="G181" s="136"/>
      <c r="H181" s="135"/>
      <c r="I181" s="133"/>
    </row>
    <row r="182" spans="1:9" x14ac:dyDescent="0.25">
      <c r="A182" s="135"/>
      <c r="B182" s="136"/>
      <c r="C182" s="136"/>
      <c r="D182" s="136"/>
      <c r="E182" s="136"/>
      <c r="F182" s="137"/>
      <c r="G182" s="136"/>
      <c r="H182" s="135"/>
      <c r="I182" s="133"/>
    </row>
    <row r="183" spans="1:9" x14ac:dyDescent="0.25">
      <c r="A183" s="135"/>
      <c r="B183" s="136"/>
      <c r="C183" s="136"/>
      <c r="D183" s="136"/>
      <c r="E183" s="136"/>
      <c r="F183" s="137"/>
      <c r="G183" s="136"/>
      <c r="H183" s="135"/>
      <c r="I183" s="133"/>
    </row>
    <row r="184" spans="1:9" x14ac:dyDescent="0.25">
      <c r="A184" s="135"/>
      <c r="B184" s="136"/>
      <c r="C184" s="136"/>
      <c r="D184" s="136"/>
      <c r="E184" s="136"/>
      <c r="F184" s="137"/>
      <c r="G184" s="136"/>
      <c r="H184" s="135"/>
      <c r="I184" s="133"/>
    </row>
    <row r="185" spans="1:9" x14ac:dyDescent="0.25">
      <c r="A185" s="135"/>
      <c r="B185" s="136"/>
      <c r="C185" s="136"/>
      <c r="D185" s="136"/>
      <c r="E185" s="136"/>
      <c r="F185" s="137"/>
      <c r="G185" s="136"/>
      <c r="H185" s="135"/>
      <c r="I185" s="133"/>
    </row>
    <row r="186" spans="1:9" x14ac:dyDescent="0.25">
      <c r="A186" s="135"/>
      <c r="B186" s="136"/>
      <c r="C186" s="136"/>
      <c r="D186" s="136"/>
      <c r="E186" s="136"/>
      <c r="F186" s="137"/>
      <c r="G186" s="136"/>
      <c r="H186" s="135"/>
      <c r="I186" s="133"/>
    </row>
    <row r="187" spans="1:9" x14ac:dyDescent="0.25">
      <c r="A187" s="135"/>
      <c r="B187" s="136"/>
      <c r="C187" s="136"/>
      <c r="D187" s="136"/>
      <c r="E187" s="136"/>
      <c r="F187" s="137"/>
      <c r="G187" s="136"/>
      <c r="H187" s="135"/>
      <c r="I187" s="133"/>
    </row>
    <row r="188" spans="1:9" x14ac:dyDescent="0.25">
      <c r="A188" s="135"/>
      <c r="B188" s="136"/>
      <c r="C188" s="136"/>
      <c r="D188" s="136"/>
      <c r="E188" s="136"/>
      <c r="F188" s="137"/>
      <c r="G188" s="136"/>
      <c r="H188" s="135"/>
      <c r="I188" s="133"/>
    </row>
    <row r="189" spans="1:9" x14ac:dyDescent="0.25">
      <c r="A189" s="135"/>
      <c r="B189" s="136"/>
      <c r="C189" s="136"/>
      <c r="D189" s="136"/>
      <c r="E189" s="136"/>
      <c r="F189" s="137"/>
      <c r="G189" s="136"/>
      <c r="H189" s="135"/>
      <c r="I189" s="133"/>
    </row>
    <row r="190" spans="1:9" x14ac:dyDescent="0.25">
      <c r="A190" s="135"/>
      <c r="B190" s="136"/>
      <c r="C190" s="136"/>
      <c r="D190" s="136"/>
      <c r="E190" s="136"/>
      <c r="F190" s="137"/>
      <c r="G190" s="136"/>
      <c r="H190" s="135"/>
      <c r="I190" s="133"/>
    </row>
    <row r="191" spans="1:9" x14ac:dyDescent="0.25">
      <c r="A191" s="135"/>
      <c r="B191" s="136"/>
      <c r="C191" s="136"/>
      <c r="D191" s="136"/>
      <c r="E191" s="136"/>
      <c r="F191" s="137"/>
      <c r="G191" s="136"/>
      <c r="H191" s="135"/>
      <c r="I191" s="133"/>
    </row>
    <row r="192" spans="1:9" x14ac:dyDescent="0.25">
      <c r="A192" s="135"/>
      <c r="B192" s="136"/>
      <c r="C192" s="136"/>
      <c r="D192" s="136"/>
      <c r="E192" s="136"/>
      <c r="F192" s="137"/>
      <c r="G192" s="136"/>
      <c r="H192" s="135"/>
      <c r="I192" s="133"/>
    </row>
    <row r="193" spans="1:9" x14ac:dyDescent="0.25">
      <c r="A193" s="135"/>
      <c r="B193" s="136"/>
      <c r="C193" s="136"/>
      <c r="D193" s="136"/>
      <c r="E193" s="136"/>
      <c r="F193" s="137"/>
      <c r="G193" s="136"/>
      <c r="H193" s="135"/>
      <c r="I193" s="133"/>
    </row>
    <row r="194" spans="1:9" x14ac:dyDescent="0.25">
      <c r="A194" s="135"/>
      <c r="B194" s="136"/>
      <c r="C194" s="136"/>
      <c r="D194" s="136"/>
      <c r="E194" s="136"/>
      <c r="F194" s="137"/>
      <c r="G194" s="136"/>
      <c r="H194" s="135"/>
      <c r="I194" s="133"/>
    </row>
    <row r="195" spans="1:9" x14ac:dyDescent="0.25">
      <c r="A195" s="135"/>
      <c r="B195" s="136"/>
      <c r="C195" s="136"/>
      <c r="D195" s="136"/>
      <c r="E195" s="136"/>
      <c r="F195" s="137"/>
      <c r="G195" s="136"/>
      <c r="H195" s="135"/>
      <c r="I195" s="133"/>
    </row>
    <row r="196" spans="1:9" x14ac:dyDescent="0.25">
      <c r="A196" s="135"/>
      <c r="B196" s="136"/>
      <c r="C196" s="136"/>
      <c r="D196" s="136"/>
      <c r="E196" s="136"/>
      <c r="F196" s="137"/>
      <c r="G196" s="136"/>
      <c r="H196" s="135"/>
      <c r="I196" s="133"/>
    </row>
    <row r="197" spans="1:9" x14ac:dyDescent="0.25">
      <c r="A197" s="135"/>
      <c r="B197" s="136"/>
      <c r="C197" s="136"/>
      <c r="D197" s="136"/>
      <c r="E197" s="136"/>
      <c r="F197" s="137"/>
      <c r="G197" s="136"/>
      <c r="H197" s="135"/>
      <c r="I197" s="133"/>
    </row>
    <row r="198" spans="1:9" x14ac:dyDescent="0.25">
      <c r="A198" s="135"/>
      <c r="B198" s="136"/>
      <c r="C198" s="136"/>
      <c r="D198" s="136"/>
      <c r="E198" s="136"/>
      <c r="F198" s="137"/>
      <c r="G198" s="136"/>
      <c r="H198" s="135"/>
      <c r="I198" s="133"/>
    </row>
    <row r="199" spans="1:9" x14ac:dyDescent="0.25">
      <c r="A199" s="135"/>
      <c r="B199" s="136"/>
      <c r="C199" s="136"/>
      <c r="D199" s="136"/>
      <c r="E199" s="136"/>
      <c r="F199" s="137"/>
      <c r="G199" s="136"/>
      <c r="H199" s="135"/>
      <c r="I199" s="133"/>
    </row>
    <row r="200" spans="1:9" x14ac:dyDescent="0.25">
      <c r="A200" s="135"/>
      <c r="B200" s="136"/>
      <c r="C200" s="136"/>
      <c r="D200" s="136"/>
      <c r="E200" s="136"/>
      <c r="F200" s="137"/>
      <c r="G200" s="136"/>
      <c r="H200" s="135"/>
      <c r="I200" s="133"/>
    </row>
    <row r="201" spans="1:9" x14ac:dyDescent="0.25">
      <c r="A201" s="135"/>
      <c r="B201" s="136"/>
      <c r="C201" s="136"/>
      <c r="D201" s="136"/>
      <c r="E201" s="136"/>
      <c r="F201" s="137"/>
      <c r="G201" s="136"/>
      <c r="H201" s="135"/>
      <c r="I201" s="133"/>
    </row>
    <row r="202" spans="1:9" x14ac:dyDescent="0.25">
      <c r="A202" s="135"/>
      <c r="B202" s="136"/>
      <c r="C202" s="136"/>
      <c r="D202" s="136"/>
      <c r="E202" s="136"/>
      <c r="F202" s="137"/>
      <c r="G202" s="136"/>
      <c r="H202" s="135"/>
      <c r="I202" s="133"/>
    </row>
    <row r="203" spans="1:9" x14ac:dyDescent="0.25">
      <c r="A203" s="135"/>
      <c r="B203" s="136"/>
      <c r="C203" s="136"/>
      <c r="D203" s="136"/>
      <c r="E203" s="136"/>
      <c r="F203" s="137"/>
      <c r="G203" s="136"/>
      <c r="H203" s="135"/>
      <c r="I203" s="133"/>
    </row>
    <row r="204" spans="1:9" x14ac:dyDescent="0.25">
      <c r="A204" s="135"/>
      <c r="B204" s="136"/>
      <c r="C204" s="136"/>
      <c r="D204" s="136"/>
      <c r="E204" s="136"/>
      <c r="F204" s="137"/>
      <c r="G204" s="136"/>
      <c r="H204" s="135"/>
      <c r="I204" s="133"/>
    </row>
    <row r="205" spans="1:9" x14ac:dyDescent="0.25">
      <c r="A205" s="135"/>
      <c r="B205" s="136"/>
      <c r="C205" s="136"/>
      <c r="D205" s="136"/>
      <c r="E205" s="136"/>
      <c r="F205" s="137"/>
      <c r="G205" s="136"/>
      <c r="H205" s="135"/>
      <c r="I205" s="133"/>
    </row>
    <row r="206" spans="1:9" x14ac:dyDescent="0.25">
      <c r="A206" s="135"/>
      <c r="B206" s="136"/>
      <c r="C206" s="136"/>
      <c r="D206" s="136"/>
      <c r="E206" s="136"/>
      <c r="F206" s="137"/>
      <c r="G206" s="136"/>
      <c r="H206" s="135"/>
      <c r="I206" s="133"/>
    </row>
    <row r="207" spans="1:9" x14ac:dyDescent="0.25">
      <c r="A207" s="135"/>
      <c r="B207" s="136"/>
      <c r="C207" s="136"/>
      <c r="D207" s="136"/>
      <c r="E207" s="136"/>
      <c r="F207" s="137"/>
      <c r="G207" s="136"/>
      <c r="H207" s="135"/>
      <c r="I207" s="133"/>
    </row>
    <row r="208" spans="1:9" x14ac:dyDescent="0.25">
      <c r="A208" s="135"/>
      <c r="B208" s="136"/>
      <c r="C208" s="136"/>
      <c r="D208" s="136"/>
      <c r="E208" s="136"/>
      <c r="F208" s="137"/>
      <c r="G208" s="136"/>
      <c r="H208" s="135"/>
      <c r="I208" s="133"/>
    </row>
    <row r="209" spans="1:9" x14ac:dyDescent="0.25">
      <c r="A209" s="135"/>
      <c r="B209" s="136"/>
      <c r="C209" s="136"/>
      <c r="D209" s="136"/>
      <c r="E209" s="136"/>
      <c r="F209" s="137"/>
      <c r="G209" s="136"/>
      <c r="H209" s="135"/>
      <c r="I209" s="133"/>
    </row>
    <row r="210" spans="1:9" x14ac:dyDescent="0.25">
      <c r="A210" s="135"/>
      <c r="B210" s="136"/>
      <c r="C210" s="136"/>
      <c r="D210" s="136"/>
      <c r="E210" s="136"/>
      <c r="F210" s="137"/>
      <c r="G210" s="136"/>
      <c r="H210" s="135"/>
      <c r="I210" s="133"/>
    </row>
    <row r="211" spans="1:9" x14ac:dyDescent="0.25">
      <c r="A211" s="135"/>
      <c r="B211" s="136"/>
      <c r="C211" s="136"/>
      <c r="D211" s="136"/>
      <c r="E211" s="136"/>
      <c r="F211" s="137"/>
      <c r="G211" s="136"/>
      <c r="H211" s="135"/>
      <c r="I211" s="133"/>
    </row>
    <row r="212" spans="1:9" x14ac:dyDescent="0.25">
      <c r="A212" s="135"/>
      <c r="B212" s="136"/>
      <c r="C212" s="136"/>
      <c r="D212" s="136"/>
      <c r="E212" s="136"/>
      <c r="F212" s="137"/>
      <c r="G212" s="136"/>
      <c r="H212" s="135"/>
      <c r="I212" s="133"/>
    </row>
    <row r="213" spans="1:9" x14ac:dyDescent="0.25">
      <c r="A213" s="135"/>
      <c r="B213" s="136"/>
      <c r="C213" s="136"/>
      <c r="D213" s="136"/>
      <c r="E213" s="136"/>
      <c r="F213" s="137"/>
      <c r="G213" s="136"/>
      <c r="H213" s="135"/>
      <c r="I213" s="133"/>
    </row>
    <row r="214" spans="1:9" x14ac:dyDescent="0.25">
      <c r="A214" s="135"/>
      <c r="B214" s="136"/>
      <c r="C214" s="136"/>
      <c r="D214" s="136"/>
      <c r="E214" s="136"/>
      <c r="F214" s="137"/>
      <c r="G214" s="136"/>
      <c r="H214" s="135"/>
      <c r="I214" s="133"/>
    </row>
    <row r="215" spans="1:9" x14ac:dyDescent="0.25">
      <c r="A215" s="135"/>
      <c r="B215" s="136"/>
      <c r="C215" s="136"/>
      <c r="D215" s="136"/>
      <c r="E215" s="136"/>
      <c r="F215" s="137"/>
      <c r="G215" s="136"/>
      <c r="H215" s="135"/>
      <c r="I215" s="133"/>
    </row>
    <row r="216" spans="1:9" x14ac:dyDescent="0.25">
      <c r="A216" s="135"/>
      <c r="B216" s="136"/>
      <c r="C216" s="136"/>
      <c r="D216" s="136"/>
      <c r="E216" s="136"/>
      <c r="F216" s="137"/>
      <c r="G216" s="136"/>
      <c r="H216" s="135"/>
      <c r="I216" s="133"/>
    </row>
    <row r="217" spans="1:9" x14ac:dyDescent="0.25">
      <c r="A217" s="135"/>
      <c r="B217" s="136"/>
      <c r="C217" s="136"/>
      <c r="D217" s="136"/>
      <c r="E217" s="136"/>
      <c r="F217" s="137"/>
      <c r="G217" s="136"/>
      <c r="H217" s="135"/>
      <c r="I217" s="133"/>
    </row>
    <row r="218" spans="1:9" x14ac:dyDescent="0.25">
      <c r="A218" s="135"/>
      <c r="B218" s="136"/>
      <c r="C218" s="136"/>
      <c r="D218" s="136"/>
      <c r="E218" s="136"/>
      <c r="F218" s="137"/>
      <c r="G218" s="136"/>
      <c r="H218" s="135"/>
      <c r="I218" s="133"/>
    </row>
    <row r="219" spans="1:9" x14ac:dyDescent="0.25">
      <c r="A219" s="135"/>
      <c r="B219" s="136"/>
      <c r="C219" s="136"/>
      <c r="D219" s="136"/>
      <c r="E219" s="136"/>
      <c r="F219" s="137"/>
      <c r="G219" s="136"/>
      <c r="H219" s="135"/>
      <c r="I219" s="133"/>
    </row>
    <row r="220" spans="1:9" x14ac:dyDescent="0.25">
      <c r="A220" s="135"/>
      <c r="B220" s="136"/>
      <c r="C220" s="136"/>
      <c r="D220" s="136"/>
      <c r="E220" s="136"/>
      <c r="F220" s="137"/>
      <c r="G220" s="136"/>
      <c r="H220" s="135"/>
      <c r="I220" s="133"/>
    </row>
    <row r="221" spans="1:9" x14ac:dyDescent="0.25">
      <c r="A221" s="135"/>
      <c r="B221" s="136"/>
      <c r="C221" s="136"/>
      <c r="D221" s="136"/>
      <c r="E221" s="136"/>
      <c r="F221" s="137"/>
      <c r="G221" s="136"/>
      <c r="H221" s="135"/>
      <c r="I221" s="133"/>
    </row>
    <row r="222" spans="1:9" x14ac:dyDescent="0.25">
      <c r="A222" s="135"/>
      <c r="B222" s="136"/>
      <c r="C222" s="136"/>
      <c r="D222" s="136"/>
      <c r="E222" s="136"/>
      <c r="F222" s="137"/>
      <c r="G222" s="136"/>
      <c r="H222" s="135"/>
      <c r="I222" s="133"/>
    </row>
    <row r="223" spans="1:9" x14ac:dyDescent="0.25">
      <c r="A223" s="135"/>
      <c r="B223" s="136"/>
      <c r="C223" s="136"/>
      <c r="D223" s="136"/>
      <c r="E223" s="136"/>
      <c r="F223" s="137"/>
      <c r="G223" s="136"/>
      <c r="H223" s="135"/>
      <c r="I223" s="133"/>
    </row>
    <row r="224" spans="1:9" x14ac:dyDescent="0.25">
      <c r="A224" s="135"/>
      <c r="B224" s="136"/>
      <c r="C224" s="136"/>
      <c r="D224" s="136"/>
      <c r="E224" s="136"/>
      <c r="F224" s="137"/>
      <c r="G224" s="136"/>
      <c r="H224" s="135"/>
      <c r="I224" s="133"/>
    </row>
    <row r="225" spans="1:9" x14ac:dyDescent="0.25">
      <c r="A225" s="135"/>
      <c r="B225" s="136"/>
      <c r="C225" s="136"/>
      <c r="D225" s="136"/>
      <c r="E225" s="136"/>
      <c r="F225" s="137"/>
      <c r="G225" s="136"/>
      <c r="H225" s="135"/>
      <c r="I225" s="133"/>
    </row>
    <row r="226" spans="1:9" x14ac:dyDescent="0.25">
      <c r="A226" s="135"/>
      <c r="B226" s="136"/>
      <c r="C226" s="136"/>
      <c r="D226" s="136"/>
      <c r="E226" s="136"/>
      <c r="F226" s="137"/>
      <c r="G226" s="136"/>
      <c r="H226" s="135"/>
      <c r="I226" s="133"/>
    </row>
    <row r="227" spans="1:9" x14ac:dyDescent="0.25">
      <c r="A227" s="135"/>
      <c r="B227" s="136"/>
      <c r="C227" s="136"/>
      <c r="D227" s="136"/>
      <c r="E227" s="136"/>
      <c r="F227" s="137"/>
      <c r="G227" s="136"/>
      <c r="H227" s="135"/>
      <c r="I227" s="133"/>
    </row>
    <row r="228" spans="1:9" x14ac:dyDescent="0.25">
      <c r="A228" s="135"/>
      <c r="B228" s="136"/>
      <c r="C228" s="136"/>
      <c r="D228" s="136"/>
      <c r="E228" s="136"/>
      <c r="F228" s="137"/>
      <c r="G228" s="136"/>
      <c r="H228" s="135"/>
      <c r="I228" s="133"/>
    </row>
    <row r="229" spans="1:9" x14ac:dyDescent="0.25">
      <c r="A229" s="135"/>
      <c r="B229" s="136"/>
      <c r="C229" s="136"/>
      <c r="D229" s="136"/>
      <c r="E229" s="136"/>
      <c r="F229" s="137"/>
      <c r="G229" s="136"/>
      <c r="H229" s="135"/>
      <c r="I229" s="133"/>
    </row>
    <row r="230" spans="1:9" x14ac:dyDescent="0.25">
      <c r="A230" s="135"/>
      <c r="B230" s="136"/>
      <c r="C230" s="136"/>
      <c r="D230" s="136"/>
      <c r="E230" s="136"/>
      <c r="F230" s="137"/>
      <c r="G230" s="136"/>
      <c r="H230" s="135"/>
      <c r="I230" s="133"/>
    </row>
    <row r="231" spans="1:9" x14ac:dyDescent="0.25">
      <c r="A231" s="135"/>
      <c r="B231" s="136"/>
      <c r="C231" s="136"/>
      <c r="D231" s="136"/>
      <c r="E231" s="136"/>
      <c r="F231" s="137"/>
      <c r="G231" s="136"/>
      <c r="H231" s="135"/>
      <c r="I231" s="133"/>
    </row>
    <row r="232" spans="1:9" x14ac:dyDescent="0.25">
      <c r="A232" s="135"/>
      <c r="B232" s="136"/>
      <c r="C232" s="136"/>
      <c r="D232" s="136"/>
      <c r="E232" s="136"/>
      <c r="F232" s="137"/>
      <c r="G232" s="136"/>
      <c r="H232" s="135"/>
      <c r="I232" s="133"/>
    </row>
    <row r="233" spans="1:9" x14ac:dyDescent="0.25">
      <c r="A233" s="135"/>
      <c r="B233" s="136"/>
      <c r="C233" s="136"/>
      <c r="D233" s="136"/>
      <c r="E233" s="136"/>
      <c r="F233" s="137"/>
      <c r="G233" s="136"/>
      <c r="H233" s="135"/>
      <c r="I233" s="133"/>
    </row>
    <row r="234" spans="1:9" x14ac:dyDescent="0.25">
      <c r="A234" s="135"/>
      <c r="B234" s="136"/>
      <c r="C234" s="136"/>
      <c r="D234" s="136"/>
      <c r="E234" s="136"/>
      <c r="F234" s="137"/>
      <c r="G234" s="136"/>
      <c r="H234" s="135"/>
      <c r="I234" s="133"/>
    </row>
    <row r="235" spans="1:9" x14ac:dyDescent="0.25">
      <c r="A235" s="135"/>
      <c r="B235" s="136"/>
      <c r="C235" s="136"/>
      <c r="D235" s="136"/>
      <c r="E235" s="136"/>
      <c r="F235" s="137"/>
      <c r="G235" s="136"/>
      <c r="H235" s="135"/>
      <c r="I235" s="133"/>
    </row>
    <row r="236" spans="1:9" x14ac:dyDescent="0.25">
      <c r="A236" s="135"/>
      <c r="B236" s="136"/>
      <c r="C236" s="136"/>
      <c r="D236" s="136"/>
      <c r="E236" s="136"/>
      <c r="F236" s="137"/>
      <c r="G236" s="136"/>
      <c r="H236" s="135"/>
      <c r="I236" s="133"/>
    </row>
    <row r="237" spans="1:9" x14ac:dyDescent="0.25">
      <c r="A237" s="135"/>
      <c r="B237" s="136"/>
      <c r="C237" s="136"/>
      <c r="D237" s="136"/>
      <c r="E237" s="136"/>
      <c r="F237" s="137"/>
      <c r="G237" s="136"/>
      <c r="H237" s="135"/>
      <c r="I237" s="133"/>
    </row>
    <row r="238" spans="1:9" x14ac:dyDescent="0.25">
      <c r="A238" s="135"/>
      <c r="B238" s="136"/>
      <c r="C238" s="136"/>
      <c r="D238" s="136"/>
      <c r="E238" s="136"/>
      <c r="F238" s="137"/>
      <c r="G238" s="136"/>
      <c r="H238" s="135"/>
      <c r="I238" s="133"/>
    </row>
    <row r="239" spans="1:9" x14ac:dyDescent="0.25">
      <c r="A239" s="135"/>
      <c r="B239" s="136"/>
      <c r="C239" s="136"/>
      <c r="D239" s="136"/>
      <c r="E239" s="136"/>
      <c r="F239" s="137"/>
      <c r="G239" s="136"/>
      <c r="H239" s="135"/>
      <c r="I239" s="133"/>
    </row>
    <row r="240" spans="1:9" x14ac:dyDescent="0.25">
      <c r="A240" s="135"/>
      <c r="B240" s="136"/>
      <c r="C240" s="136"/>
      <c r="D240" s="136"/>
      <c r="E240" s="136"/>
      <c r="F240" s="137"/>
      <c r="G240" s="136"/>
      <c r="H240" s="135"/>
      <c r="I240" s="133"/>
    </row>
    <row r="241" spans="1:9" x14ac:dyDescent="0.25">
      <c r="A241" s="135"/>
      <c r="B241" s="136"/>
      <c r="C241" s="136"/>
      <c r="D241" s="136"/>
      <c r="E241" s="136"/>
      <c r="F241" s="137"/>
      <c r="G241" s="136"/>
      <c r="H241" s="135"/>
      <c r="I241" s="133"/>
    </row>
    <row r="242" spans="1:9" x14ac:dyDescent="0.25">
      <c r="A242" s="135"/>
      <c r="B242" s="136"/>
      <c r="C242" s="136"/>
      <c r="D242" s="136"/>
      <c r="E242" s="136"/>
      <c r="F242" s="137"/>
      <c r="G242" s="136"/>
      <c r="H242" s="135"/>
      <c r="I242" s="133"/>
    </row>
    <row r="243" spans="1:9" x14ac:dyDescent="0.25">
      <c r="A243" s="135"/>
      <c r="B243" s="136"/>
      <c r="C243" s="136"/>
      <c r="D243" s="136"/>
      <c r="E243" s="136"/>
      <c r="F243" s="137"/>
      <c r="G243" s="136"/>
      <c r="H243" s="135"/>
      <c r="I243" s="133"/>
    </row>
    <row r="244" spans="1:9" x14ac:dyDescent="0.25">
      <c r="A244" s="135"/>
      <c r="B244" s="136"/>
      <c r="C244" s="136"/>
      <c r="D244" s="136"/>
      <c r="E244" s="136"/>
      <c r="F244" s="137"/>
      <c r="G244" s="136"/>
      <c r="H244" s="135"/>
      <c r="I244" s="133"/>
    </row>
    <row r="245" spans="1:9" x14ac:dyDescent="0.25">
      <c r="A245" s="135"/>
      <c r="B245" s="136"/>
      <c r="C245" s="136"/>
      <c r="D245" s="136"/>
      <c r="E245" s="136"/>
      <c r="F245" s="137"/>
      <c r="G245" s="136"/>
      <c r="H245" s="135"/>
      <c r="I245" s="133"/>
    </row>
    <row r="246" spans="1:9" x14ac:dyDescent="0.25">
      <c r="A246" s="135"/>
      <c r="B246" s="136"/>
      <c r="C246" s="136"/>
      <c r="D246" s="136"/>
      <c r="E246" s="136"/>
      <c r="F246" s="137"/>
      <c r="G246" s="136"/>
      <c r="H246" s="135"/>
      <c r="I246" s="133"/>
    </row>
    <row r="247" spans="1:9" x14ac:dyDescent="0.25">
      <c r="A247" s="135"/>
      <c r="B247" s="136"/>
      <c r="C247" s="136"/>
      <c r="D247" s="136"/>
      <c r="E247" s="136"/>
      <c r="F247" s="137"/>
      <c r="G247" s="136"/>
      <c r="H247" s="135"/>
      <c r="I247" s="133"/>
    </row>
    <row r="248" spans="1:9" x14ac:dyDescent="0.25">
      <c r="A248" s="135"/>
      <c r="B248" s="136"/>
      <c r="C248" s="136"/>
      <c r="D248" s="136"/>
      <c r="E248" s="136"/>
      <c r="F248" s="137"/>
      <c r="G248" s="136"/>
      <c r="H248" s="135"/>
      <c r="I248" s="133"/>
    </row>
    <row r="249" spans="1:9" x14ac:dyDescent="0.25">
      <c r="A249" s="135"/>
      <c r="B249" s="136"/>
      <c r="C249" s="136"/>
      <c r="D249" s="136"/>
      <c r="E249" s="136"/>
      <c r="F249" s="137"/>
      <c r="G249" s="136"/>
      <c r="H249" s="135"/>
      <c r="I249" s="133"/>
    </row>
    <row r="250" spans="1:9" x14ac:dyDescent="0.25">
      <c r="A250" s="135"/>
      <c r="B250" s="136"/>
      <c r="C250" s="136"/>
      <c r="D250" s="136"/>
      <c r="E250" s="136"/>
      <c r="F250" s="137"/>
      <c r="G250" s="136"/>
      <c r="H250" s="135"/>
      <c r="I250" s="133"/>
    </row>
    <row r="251" spans="1:9" x14ac:dyDescent="0.25">
      <c r="A251" s="135"/>
      <c r="B251" s="136"/>
      <c r="C251" s="136"/>
      <c r="D251" s="136"/>
      <c r="E251" s="136"/>
      <c r="F251" s="137"/>
      <c r="G251" s="136"/>
      <c r="H251" s="135"/>
      <c r="I251" s="133"/>
    </row>
    <row r="252" spans="1:9" x14ac:dyDescent="0.25">
      <c r="A252" s="135"/>
      <c r="B252" s="136"/>
      <c r="C252" s="136"/>
      <c r="D252" s="136"/>
      <c r="E252" s="136"/>
      <c r="F252" s="137"/>
      <c r="G252" s="136"/>
      <c r="H252" s="135"/>
      <c r="I252" s="133"/>
    </row>
    <row r="253" spans="1:9" x14ac:dyDescent="0.25">
      <c r="A253" s="135"/>
      <c r="B253" s="136"/>
      <c r="C253" s="136"/>
      <c r="D253" s="136"/>
      <c r="E253" s="136"/>
      <c r="F253" s="137"/>
      <c r="G253" s="136"/>
      <c r="H253" s="135"/>
      <c r="I253" s="133"/>
    </row>
    <row r="254" spans="1:9" x14ac:dyDescent="0.25">
      <c r="A254" s="135"/>
      <c r="B254" s="136"/>
      <c r="C254" s="136"/>
      <c r="D254" s="136"/>
      <c r="E254" s="136"/>
      <c r="F254" s="137"/>
      <c r="G254" s="136"/>
      <c r="H254" s="135"/>
      <c r="I254" s="133"/>
    </row>
    <row r="255" spans="1:9" x14ac:dyDescent="0.25">
      <c r="A255" s="135"/>
      <c r="B255" s="136"/>
      <c r="C255" s="136"/>
      <c r="D255" s="136"/>
      <c r="E255" s="136"/>
      <c r="F255" s="137"/>
      <c r="G255" s="136"/>
      <c r="H255" s="135"/>
      <c r="I255" s="133"/>
    </row>
    <row r="256" spans="1:9" x14ac:dyDescent="0.25">
      <c r="A256" s="135"/>
      <c r="B256" s="136"/>
      <c r="C256" s="136"/>
      <c r="D256" s="136"/>
      <c r="E256" s="136"/>
      <c r="F256" s="137"/>
      <c r="G256" s="136"/>
      <c r="H256" s="135"/>
      <c r="I256" s="133"/>
    </row>
    <row r="257" spans="1:9" x14ac:dyDescent="0.25">
      <c r="A257" s="135"/>
      <c r="B257" s="136"/>
      <c r="C257" s="136"/>
      <c r="D257" s="136"/>
      <c r="E257" s="136"/>
      <c r="F257" s="137"/>
      <c r="G257" s="136"/>
      <c r="H257" s="135"/>
      <c r="I257" s="133"/>
    </row>
    <row r="258" spans="1:9" x14ac:dyDescent="0.25">
      <c r="A258" s="135"/>
      <c r="B258" s="136"/>
      <c r="C258" s="136"/>
      <c r="D258" s="136"/>
      <c r="E258" s="136"/>
      <c r="F258" s="137"/>
      <c r="G258" s="136"/>
      <c r="H258" s="135"/>
      <c r="I258" s="133"/>
    </row>
    <row r="259" spans="1:9" x14ac:dyDescent="0.25">
      <c r="A259" s="135"/>
      <c r="B259" s="136"/>
      <c r="C259" s="136"/>
      <c r="D259" s="136"/>
      <c r="E259" s="136"/>
      <c r="F259" s="137"/>
      <c r="G259" s="136"/>
      <c r="H259" s="135"/>
      <c r="I259" s="133"/>
    </row>
    <row r="260" spans="1:9" x14ac:dyDescent="0.25">
      <c r="A260" s="135"/>
      <c r="B260" s="136"/>
      <c r="C260" s="136"/>
      <c r="D260" s="136"/>
      <c r="E260" s="136"/>
      <c r="F260" s="137"/>
      <c r="G260" s="136"/>
      <c r="H260" s="135"/>
      <c r="I260" s="133"/>
    </row>
    <row r="261" spans="1:9" x14ac:dyDescent="0.25">
      <c r="A261" s="135"/>
      <c r="B261" s="136"/>
      <c r="C261" s="136"/>
      <c r="D261" s="136"/>
      <c r="E261" s="136"/>
      <c r="F261" s="137"/>
      <c r="G261" s="136"/>
      <c r="H261" s="135"/>
      <c r="I261" s="133"/>
    </row>
    <row r="262" spans="1:9" x14ac:dyDescent="0.25">
      <c r="A262" s="135"/>
      <c r="B262" s="136"/>
      <c r="C262" s="136"/>
      <c r="D262" s="136"/>
      <c r="E262" s="136"/>
      <c r="F262" s="137"/>
      <c r="G262" s="136"/>
      <c r="H262" s="135"/>
      <c r="I262" s="133"/>
    </row>
    <row r="263" spans="1:9" x14ac:dyDescent="0.25">
      <c r="A263" s="135"/>
      <c r="B263" s="136"/>
      <c r="C263" s="136"/>
      <c r="D263" s="136"/>
      <c r="E263" s="136"/>
      <c r="F263" s="137"/>
      <c r="G263" s="136"/>
      <c r="H263" s="135"/>
      <c r="I263" s="133"/>
    </row>
    <row r="264" spans="1:9" x14ac:dyDescent="0.25">
      <c r="A264" s="135"/>
      <c r="B264" s="136"/>
      <c r="C264" s="136"/>
      <c r="D264" s="136"/>
      <c r="E264" s="136"/>
      <c r="F264" s="137"/>
      <c r="G264" s="136"/>
      <c r="H264" s="135"/>
      <c r="I264" s="133"/>
    </row>
    <row r="265" spans="1:9" x14ac:dyDescent="0.25">
      <c r="A265" s="135"/>
      <c r="B265" s="136"/>
      <c r="C265" s="136"/>
      <c r="D265" s="136"/>
      <c r="E265" s="136"/>
      <c r="F265" s="137"/>
      <c r="G265" s="136"/>
      <c r="H265" s="135"/>
      <c r="I265" s="133"/>
    </row>
    <row r="266" spans="1:9" x14ac:dyDescent="0.25">
      <c r="A266" s="135"/>
      <c r="B266" s="136"/>
      <c r="C266" s="136"/>
      <c r="D266" s="136"/>
      <c r="E266" s="136"/>
      <c r="F266" s="137"/>
      <c r="G266" s="136"/>
      <c r="H266" s="135"/>
      <c r="I266" s="133"/>
    </row>
    <row r="267" spans="1:9" x14ac:dyDescent="0.25">
      <c r="A267" s="135"/>
      <c r="B267" s="136"/>
      <c r="C267" s="136"/>
      <c r="D267" s="136"/>
      <c r="E267" s="136"/>
      <c r="F267" s="137"/>
      <c r="G267" s="136"/>
      <c r="H267" s="135"/>
      <c r="I267" s="133"/>
    </row>
    <row r="268" spans="1:9" x14ac:dyDescent="0.25">
      <c r="A268" s="135"/>
      <c r="B268" s="136"/>
      <c r="C268" s="136"/>
      <c r="D268" s="136"/>
      <c r="E268" s="136"/>
      <c r="F268" s="137"/>
      <c r="G268" s="136"/>
      <c r="H268" s="135"/>
      <c r="I268" s="133"/>
    </row>
    <row r="269" spans="1:9" x14ac:dyDescent="0.25">
      <c r="A269" s="135"/>
      <c r="B269" s="136"/>
      <c r="C269" s="136"/>
      <c r="D269" s="136"/>
      <c r="E269" s="136"/>
      <c r="F269" s="137"/>
      <c r="G269" s="136"/>
      <c r="H269" s="135"/>
      <c r="I269" s="133"/>
    </row>
    <row r="270" spans="1:9" x14ac:dyDescent="0.25">
      <c r="A270" s="135"/>
      <c r="B270" s="136"/>
      <c r="C270" s="136"/>
      <c r="D270" s="136"/>
      <c r="E270" s="136"/>
      <c r="F270" s="137"/>
      <c r="G270" s="136"/>
      <c r="H270" s="135"/>
      <c r="I270" s="133"/>
    </row>
    <row r="271" spans="1:9" x14ac:dyDescent="0.25">
      <c r="A271" s="135"/>
      <c r="B271" s="136"/>
      <c r="C271" s="136"/>
      <c r="D271" s="136"/>
      <c r="E271" s="136"/>
      <c r="F271" s="137"/>
      <c r="G271" s="136"/>
      <c r="H271" s="135"/>
      <c r="I271" s="133"/>
    </row>
    <row r="272" spans="1:9" x14ac:dyDescent="0.25">
      <c r="A272" s="135"/>
      <c r="B272" s="136"/>
      <c r="C272" s="136"/>
      <c r="D272" s="136"/>
      <c r="E272" s="136"/>
      <c r="F272" s="137"/>
      <c r="G272" s="136"/>
      <c r="H272" s="135"/>
      <c r="I272" s="133"/>
    </row>
    <row r="273" spans="1:9" x14ac:dyDescent="0.25">
      <c r="A273" s="135"/>
      <c r="B273" s="136"/>
      <c r="C273" s="136"/>
      <c r="D273" s="136"/>
      <c r="E273" s="136"/>
      <c r="F273" s="137"/>
      <c r="G273" s="136"/>
      <c r="H273" s="135"/>
      <c r="I273" s="133"/>
    </row>
    <row r="274" spans="1:9" x14ac:dyDescent="0.25">
      <c r="A274" s="135"/>
      <c r="B274" s="136"/>
      <c r="C274" s="136"/>
      <c r="D274" s="136"/>
      <c r="E274" s="136"/>
      <c r="F274" s="137"/>
      <c r="G274" s="136"/>
      <c r="H274" s="135"/>
      <c r="I274" s="133"/>
    </row>
    <row r="275" spans="1:9" x14ac:dyDescent="0.25">
      <c r="A275" s="135"/>
      <c r="B275" s="136"/>
      <c r="C275" s="136"/>
      <c r="D275" s="136"/>
      <c r="E275" s="136"/>
      <c r="F275" s="137"/>
      <c r="G275" s="136"/>
      <c r="H275" s="135"/>
      <c r="I275" s="133"/>
    </row>
    <row r="276" spans="1:9" x14ac:dyDescent="0.25">
      <c r="A276" s="135"/>
      <c r="B276" s="136"/>
      <c r="C276" s="136"/>
      <c r="D276" s="136"/>
      <c r="E276" s="136"/>
      <c r="F276" s="137"/>
      <c r="G276" s="136"/>
      <c r="H276" s="135"/>
      <c r="I276" s="133"/>
    </row>
    <row r="277" spans="1:9" x14ac:dyDescent="0.25">
      <c r="A277" s="135"/>
      <c r="B277" s="136"/>
      <c r="C277" s="136"/>
      <c r="D277" s="136"/>
      <c r="E277" s="136"/>
      <c r="F277" s="137"/>
      <c r="G277" s="136"/>
      <c r="H277" s="135"/>
      <c r="I277" s="133"/>
    </row>
    <row r="278" spans="1:9" x14ac:dyDescent="0.25">
      <c r="A278" s="135"/>
      <c r="B278" s="136"/>
      <c r="C278" s="136"/>
      <c r="D278" s="136"/>
      <c r="E278" s="136"/>
      <c r="F278" s="137"/>
      <c r="G278" s="136"/>
      <c r="H278" s="135"/>
      <c r="I278" s="133"/>
    </row>
    <row r="279" spans="1:9" x14ac:dyDescent="0.25">
      <c r="A279" s="135"/>
      <c r="B279" s="136"/>
      <c r="C279" s="136"/>
      <c r="D279" s="136"/>
      <c r="E279" s="136"/>
      <c r="F279" s="137"/>
      <c r="G279" s="136"/>
      <c r="H279" s="135"/>
      <c r="I279" s="133"/>
    </row>
    <row r="280" spans="1:9" x14ac:dyDescent="0.25">
      <c r="A280" s="135"/>
      <c r="B280" s="136"/>
      <c r="C280" s="136"/>
      <c r="D280" s="136"/>
      <c r="E280" s="136"/>
      <c r="F280" s="137"/>
      <c r="G280" s="136"/>
      <c r="H280" s="135"/>
      <c r="I280" s="133"/>
    </row>
    <row r="281" spans="1:9" x14ac:dyDescent="0.25">
      <c r="A281" s="135"/>
      <c r="B281" s="136"/>
      <c r="C281" s="136"/>
      <c r="D281" s="136"/>
      <c r="E281" s="136"/>
      <c r="F281" s="137"/>
      <c r="G281" s="136"/>
      <c r="H281" s="135"/>
      <c r="I281" s="133"/>
    </row>
    <row r="282" spans="1:9" x14ac:dyDescent="0.25">
      <c r="A282" s="135"/>
      <c r="B282" s="136"/>
      <c r="C282" s="136"/>
      <c r="D282" s="136"/>
      <c r="E282" s="136"/>
      <c r="F282" s="137"/>
      <c r="G282" s="136"/>
      <c r="H282" s="135"/>
      <c r="I282" s="133"/>
    </row>
    <row r="283" spans="1:9" x14ac:dyDescent="0.25">
      <c r="A283" s="135"/>
      <c r="B283" s="136"/>
      <c r="C283" s="136"/>
      <c r="D283" s="136"/>
      <c r="E283" s="136"/>
      <c r="F283" s="137"/>
      <c r="G283" s="136"/>
      <c r="H283" s="135"/>
      <c r="I283" s="133"/>
    </row>
    <row r="284" spans="1:9" x14ac:dyDescent="0.25">
      <c r="A284" s="135"/>
      <c r="B284" s="136"/>
      <c r="C284" s="136"/>
      <c r="D284" s="136"/>
      <c r="E284" s="136"/>
      <c r="F284" s="137"/>
      <c r="G284" s="136"/>
      <c r="H284" s="135"/>
      <c r="I284" s="133"/>
    </row>
    <row r="285" spans="1:9" x14ac:dyDescent="0.25">
      <c r="A285" s="135"/>
      <c r="B285" s="136"/>
      <c r="C285" s="136"/>
      <c r="D285" s="136"/>
      <c r="E285" s="136"/>
      <c r="F285" s="137"/>
      <c r="G285" s="136"/>
      <c r="H285" s="135"/>
      <c r="I285" s="133"/>
    </row>
    <row r="286" spans="1:9" x14ac:dyDescent="0.25">
      <c r="A286" s="135"/>
      <c r="B286" s="136"/>
      <c r="C286" s="136"/>
      <c r="D286" s="136"/>
      <c r="E286" s="136"/>
      <c r="F286" s="137"/>
      <c r="G286" s="136"/>
      <c r="H286" s="135"/>
      <c r="I286" s="133"/>
    </row>
    <row r="287" spans="1:9" x14ac:dyDescent="0.25">
      <c r="A287" s="135"/>
      <c r="B287" s="136"/>
      <c r="C287" s="136"/>
      <c r="D287" s="136"/>
      <c r="E287" s="136"/>
      <c r="F287" s="137"/>
      <c r="G287" s="136"/>
      <c r="H287" s="135"/>
      <c r="I287" s="133"/>
    </row>
    <row r="288" spans="1:9" x14ac:dyDescent="0.25">
      <c r="A288" s="135"/>
      <c r="B288" s="136"/>
      <c r="C288" s="136"/>
      <c r="D288" s="136"/>
      <c r="E288" s="136"/>
      <c r="F288" s="137"/>
      <c r="G288" s="136"/>
      <c r="H288" s="135"/>
      <c r="I288" s="133"/>
    </row>
    <row r="289" spans="1:9" x14ac:dyDescent="0.25">
      <c r="A289" s="135"/>
      <c r="B289" s="136"/>
      <c r="C289" s="136"/>
      <c r="D289" s="136"/>
      <c r="E289" s="136"/>
      <c r="F289" s="137"/>
      <c r="G289" s="136"/>
      <c r="H289" s="135"/>
      <c r="I289" s="133"/>
    </row>
    <row r="290" spans="1:9" x14ac:dyDescent="0.25">
      <c r="A290" s="135"/>
      <c r="B290" s="136"/>
      <c r="C290" s="136"/>
      <c r="D290" s="136"/>
      <c r="E290" s="136"/>
      <c r="F290" s="137"/>
      <c r="G290" s="136"/>
      <c r="H290" s="135"/>
      <c r="I290" s="133"/>
    </row>
    <row r="291" spans="1:9" x14ac:dyDescent="0.25">
      <c r="A291" s="135"/>
      <c r="B291" s="136"/>
      <c r="C291" s="136"/>
      <c r="D291" s="136"/>
      <c r="E291" s="136"/>
      <c r="F291" s="137"/>
      <c r="G291" s="136"/>
      <c r="H291" s="135"/>
      <c r="I291" s="133"/>
    </row>
    <row r="292" spans="1:9" x14ac:dyDescent="0.25">
      <c r="A292" s="135"/>
      <c r="B292" s="136"/>
      <c r="C292" s="136"/>
      <c r="D292" s="136"/>
      <c r="E292" s="136"/>
      <c r="F292" s="137"/>
      <c r="G292" s="136"/>
      <c r="H292" s="135"/>
      <c r="I292" s="133"/>
    </row>
    <row r="293" spans="1:9" x14ac:dyDescent="0.25">
      <c r="A293" s="135"/>
      <c r="B293" s="136"/>
      <c r="C293" s="136"/>
      <c r="D293" s="136"/>
      <c r="E293" s="136"/>
      <c r="F293" s="137"/>
      <c r="G293" s="136"/>
      <c r="H293" s="135"/>
      <c r="I293" s="133"/>
    </row>
    <row r="294" spans="1:9" x14ac:dyDescent="0.25">
      <c r="A294" s="135"/>
      <c r="B294" s="136"/>
      <c r="C294" s="136"/>
      <c r="D294" s="136"/>
      <c r="E294" s="136"/>
      <c r="F294" s="137"/>
      <c r="G294" s="136"/>
      <c r="H294" s="135"/>
      <c r="I294" s="133"/>
    </row>
    <row r="295" spans="1:9" x14ac:dyDescent="0.25">
      <c r="A295" s="135"/>
      <c r="B295" s="136"/>
      <c r="C295" s="136"/>
      <c r="D295" s="136"/>
      <c r="E295" s="136"/>
      <c r="F295" s="137"/>
      <c r="G295" s="136"/>
      <c r="H295" s="135"/>
      <c r="I295" s="133"/>
    </row>
    <row r="296" spans="1:9" x14ac:dyDescent="0.25">
      <c r="A296" s="135"/>
      <c r="B296" s="136"/>
      <c r="C296" s="136"/>
      <c r="D296" s="136"/>
      <c r="E296" s="136"/>
      <c r="F296" s="137"/>
      <c r="G296" s="136"/>
      <c r="H296" s="135"/>
      <c r="I296" s="133"/>
    </row>
    <row r="297" spans="1:9" x14ac:dyDescent="0.25">
      <c r="A297" s="135"/>
      <c r="B297" s="136"/>
      <c r="C297" s="136"/>
      <c r="D297" s="136"/>
      <c r="E297" s="136"/>
      <c r="F297" s="137"/>
      <c r="G297" s="136"/>
      <c r="H297" s="135"/>
      <c r="I297" s="133"/>
    </row>
    <row r="298" spans="1:9" x14ac:dyDescent="0.25">
      <c r="A298" s="135"/>
      <c r="B298" s="136"/>
      <c r="C298" s="136"/>
      <c r="D298" s="136"/>
      <c r="E298" s="136"/>
      <c r="F298" s="137"/>
      <c r="G298" s="136"/>
      <c r="H298" s="135"/>
      <c r="I298" s="133"/>
    </row>
    <row r="299" spans="1:9" x14ac:dyDescent="0.25">
      <c r="A299" s="135"/>
      <c r="B299" s="136"/>
      <c r="C299" s="136"/>
      <c r="D299" s="136"/>
      <c r="E299" s="136"/>
      <c r="F299" s="137"/>
      <c r="G299" s="136"/>
      <c r="H299" s="135"/>
      <c r="I299" s="133"/>
    </row>
    <row r="300" spans="1:9" x14ac:dyDescent="0.25">
      <c r="A300" s="135"/>
      <c r="B300" s="136"/>
      <c r="C300" s="136"/>
      <c r="D300" s="136"/>
      <c r="E300" s="136"/>
      <c r="F300" s="137"/>
      <c r="G300" s="136"/>
      <c r="H300" s="135"/>
      <c r="I300" s="133"/>
    </row>
    <row r="301" spans="1:9" x14ac:dyDescent="0.25">
      <c r="A301" s="135"/>
      <c r="B301" s="136"/>
      <c r="C301" s="136"/>
      <c r="D301" s="136"/>
      <c r="E301" s="136"/>
      <c r="F301" s="137"/>
      <c r="G301" s="136"/>
      <c r="H301" s="135"/>
      <c r="I301" s="133"/>
    </row>
    <row r="302" spans="1:9" x14ac:dyDescent="0.25">
      <c r="A302" s="135"/>
      <c r="B302" s="136"/>
      <c r="C302" s="136"/>
      <c r="D302" s="136"/>
      <c r="E302" s="136"/>
      <c r="F302" s="137"/>
      <c r="G302" s="136"/>
      <c r="H302" s="135"/>
      <c r="I302" s="133"/>
    </row>
    <row r="303" spans="1:9" x14ac:dyDescent="0.25">
      <c r="A303" s="135"/>
      <c r="B303" s="136"/>
      <c r="C303" s="136"/>
      <c r="D303" s="136"/>
      <c r="E303" s="136"/>
      <c r="F303" s="137"/>
      <c r="G303" s="136"/>
      <c r="H303" s="135"/>
      <c r="I303" s="133"/>
    </row>
    <row r="304" spans="1:9" x14ac:dyDescent="0.25">
      <c r="A304" s="135"/>
      <c r="B304" s="136"/>
      <c r="C304" s="136"/>
      <c r="D304" s="136"/>
      <c r="E304" s="136"/>
      <c r="F304" s="137"/>
      <c r="G304" s="136"/>
      <c r="H304" s="135"/>
      <c r="I304" s="133"/>
    </row>
    <row r="305" spans="1:9" x14ac:dyDescent="0.25">
      <c r="A305" s="135"/>
      <c r="B305" s="136"/>
      <c r="C305" s="136"/>
      <c r="D305" s="136"/>
      <c r="E305" s="136"/>
      <c r="F305" s="137"/>
      <c r="G305" s="136"/>
      <c r="H305" s="135"/>
      <c r="I305" s="133"/>
    </row>
    <row r="306" spans="1:9" x14ac:dyDescent="0.25">
      <c r="A306" s="135"/>
      <c r="B306" s="136"/>
      <c r="C306" s="136"/>
      <c r="D306" s="136"/>
      <c r="E306" s="136"/>
      <c r="F306" s="137"/>
      <c r="G306" s="136"/>
      <c r="H306" s="135"/>
      <c r="I306" s="133"/>
    </row>
    <row r="307" spans="1:9" x14ac:dyDescent="0.25">
      <c r="A307" s="135"/>
      <c r="B307" s="136"/>
      <c r="C307" s="136"/>
      <c r="D307" s="136"/>
      <c r="E307" s="136"/>
      <c r="F307" s="137"/>
      <c r="G307" s="136"/>
      <c r="H307" s="135"/>
      <c r="I307" s="133"/>
    </row>
    <row r="308" spans="1:9" x14ac:dyDescent="0.25">
      <c r="A308" s="135"/>
      <c r="B308" s="136"/>
      <c r="C308" s="136"/>
      <c r="D308" s="136"/>
      <c r="E308" s="136"/>
      <c r="F308" s="137"/>
      <c r="G308" s="136"/>
      <c r="H308" s="135"/>
      <c r="I308" s="133"/>
    </row>
    <row r="309" spans="1:9" x14ac:dyDescent="0.25">
      <c r="A309" s="135"/>
      <c r="B309" s="136"/>
      <c r="C309" s="136"/>
      <c r="D309" s="136"/>
      <c r="E309" s="136"/>
      <c r="F309" s="137"/>
      <c r="G309" s="136"/>
      <c r="H309" s="135"/>
      <c r="I309" s="133"/>
    </row>
    <row r="310" spans="1:9" x14ac:dyDescent="0.25">
      <c r="A310" s="135"/>
      <c r="B310" s="136"/>
      <c r="C310" s="136"/>
      <c r="D310" s="136"/>
      <c r="E310" s="136"/>
      <c r="F310" s="137"/>
      <c r="G310" s="136"/>
      <c r="H310" s="135"/>
      <c r="I310" s="133"/>
    </row>
    <row r="311" spans="1:9" x14ac:dyDescent="0.25">
      <c r="A311" s="135"/>
      <c r="B311" s="136"/>
      <c r="C311" s="136"/>
      <c r="D311" s="136"/>
      <c r="E311" s="136"/>
      <c r="F311" s="137"/>
      <c r="G311" s="136"/>
      <c r="H311" s="135"/>
      <c r="I311" s="133"/>
    </row>
    <row r="312" spans="1:9" x14ac:dyDescent="0.25">
      <c r="A312" s="135"/>
      <c r="B312" s="136"/>
      <c r="C312" s="136"/>
      <c r="D312" s="136"/>
      <c r="E312" s="136"/>
      <c r="F312" s="137"/>
      <c r="G312" s="136"/>
      <c r="H312" s="135"/>
      <c r="I312" s="133"/>
    </row>
    <row r="313" spans="1:9" x14ac:dyDescent="0.25">
      <c r="A313" s="135"/>
      <c r="B313" s="136"/>
      <c r="C313" s="136"/>
      <c r="D313" s="136"/>
      <c r="E313" s="136"/>
      <c r="F313" s="137"/>
      <c r="G313" s="136"/>
      <c r="H313" s="135"/>
      <c r="I313" s="133"/>
    </row>
    <row r="314" spans="1:9" x14ac:dyDescent="0.25">
      <c r="A314" s="135"/>
      <c r="B314" s="136"/>
      <c r="C314" s="136"/>
      <c r="D314" s="136"/>
      <c r="E314" s="136"/>
      <c r="F314" s="137"/>
      <c r="G314" s="136"/>
      <c r="H314" s="135"/>
      <c r="I314" s="133"/>
    </row>
    <row r="315" spans="1:9" x14ac:dyDescent="0.25">
      <c r="A315" s="135"/>
      <c r="B315" s="136"/>
      <c r="C315" s="136"/>
      <c r="D315" s="136"/>
      <c r="E315" s="136"/>
      <c r="F315" s="137"/>
      <c r="G315" s="136"/>
      <c r="H315" s="135"/>
      <c r="I315" s="133"/>
    </row>
    <row r="316" spans="1:9" x14ac:dyDescent="0.25">
      <c r="A316" s="135"/>
      <c r="B316" s="136"/>
      <c r="C316" s="136"/>
      <c r="D316" s="136"/>
      <c r="E316" s="136"/>
      <c r="F316" s="137"/>
      <c r="G316" s="136"/>
      <c r="H316" s="135"/>
      <c r="I316" s="133"/>
    </row>
    <row r="317" spans="1:9" x14ac:dyDescent="0.25">
      <c r="A317" s="135"/>
      <c r="B317" s="136"/>
      <c r="C317" s="136"/>
      <c r="D317" s="136"/>
      <c r="E317" s="136"/>
      <c r="F317" s="137"/>
      <c r="G317" s="136"/>
      <c r="H317" s="135"/>
      <c r="I317" s="133"/>
    </row>
    <row r="318" spans="1:9" x14ac:dyDescent="0.25">
      <c r="A318" s="135"/>
      <c r="B318" s="136"/>
      <c r="C318" s="136"/>
      <c r="D318" s="136"/>
      <c r="E318" s="136"/>
      <c r="F318" s="137"/>
      <c r="G318" s="136"/>
      <c r="H318" s="135"/>
      <c r="I318" s="133"/>
    </row>
    <row r="319" spans="1:9" x14ac:dyDescent="0.25">
      <c r="A319" s="135"/>
      <c r="B319" s="136"/>
      <c r="C319" s="136"/>
      <c r="D319" s="136"/>
      <c r="E319" s="136"/>
      <c r="F319" s="137"/>
      <c r="G319" s="136"/>
      <c r="H319" s="135"/>
      <c r="I319" s="133"/>
    </row>
    <row r="320" spans="1:9" x14ac:dyDescent="0.25">
      <c r="A320" s="135"/>
      <c r="B320" s="136"/>
      <c r="C320" s="136"/>
      <c r="D320" s="136"/>
      <c r="E320" s="136"/>
      <c r="F320" s="137"/>
      <c r="G320" s="136"/>
      <c r="H320" s="135"/>
      <c r="I320" s="133"/>
    </row>
    <row r="321" spans="1:9" x14ac:dyDescent="0.25">
      <c r="A321" s="135"/>
      <c r="B321" s="136"/>
      <c r="C321" s="136"/>
      <c r="D321" s="136"/>
      <c r="E321" s="136"/>
      <c r="F321" s="137"/>
      <c r="G321" s="136"/>
      <c r="H321" s="135"/>
      <c r="I321" s="133"/>
    </row>
    <row r="322" spans="1:9" x14ac:dyDescent="0.25">
      <c r="A322" s="135"/>
      <c r="B322" s="136"/>
      <c r="C322" s="136"/>
      <c r="D322" s="136"/>
      <c r="E322" s="136"/>
      <c r="F322" s="137"/>
      <c r="G322" s="136"/>
      <c r="H322" s="135"/>
      <c r="I322" s="133"/>
    </row>
    <row r="323" spans="1:9" x14ac:dyDescent="0.25">
      <c r="A323" s="135"/>
      <c r="B323" s="136"/>
      <c r="C323" s="136"/>
      <c r="D323" s="136"/>
      <c r="E323" s="136"/>
      <c r="F323" s="137"/>
      <c r="G323" s="136"/>
      <c r="H323" s="135"/>
      <c r="I323" s="133"/>
    </row>
    <row r="324" spans="1:9" x14ac:dyDescent="0.25">
      <c r="A324" s="135"/>
      <c r="B324" s="136"/>
      <c r="C324" s="136"/>
      <c r="D324" s="136"/>
      <c r="E324" s="136"/>
      <c r="F324" s="137"/>
      <c r="G324" s="136"/>
      <c r="H324" s="135"/>
      <c r="I324" s="133"/>
    </row>
    <row r="325" spans="1:9" x14ac:dyDescent="0.25">
      <c r="A325" s="135"/>
      <c r="B325" s="136"/>
      <c r="C325" s="136"/>
      <c r="D325" s="136"/>
      <c r="E325" s="136"/>
      <c r="F325" s="137"/>
      <c r="G325" s="136"/>
      <c r="H325" s="135"/>
      <c r="I325" s="133"/>
    </row>
    <row r="326" spans="1:9" x14ac:dyDescent="0.25">
      <c r="A326" s="135"/>
      <c r="B326" s="136"/>
      <c r="C326" s="136"/>
      <c r="D326" s="136"/>
      <c r="E326" s="136"/>
      <c r="F326" s="137"/>
      <c r="G326" s="136"/>
      <c r="H326" s="135"/>
      <c r="I326" s="133"/>
    </row>
    <row r="327" spans="1:9" x14ac:dyDescent="0.25">
      <c r="A327" s="135"/>
      <c r="B327" s="136"/>
      <c r="C327" s="136"/>
      <c r="D327" s="136"/>
      <c r="E327" s="136"/>
      <c r="F327" s="137"/>
      <c r="G327" s="136"/>
      <c r="H327" s="135"/>
      <c r="I327" s="133"/>
    </row>
    <row r="328" spans="1:9" x14ac:dyDescent="0.25">
      <c r="A328" s="135"/>
      <c r="B328" s="136"/>
      <c r="C328" s="136"/>
      <c r="D328" s="136"/>
      <c r="E328" s="136"/>
      <c r="F328" s="137"/>
      <c r="G328" s="136"/>
      <c r="H328" s="135"/>
      <c r="I328" s="133"/>
    </row>
    <row r="329" spans="1:9" x14ac:dyDescent="0.25">
      <c r="A329" s="135"/>
      <c r="B329" s="136"/>
      <c r="C329" s="136"/>
      <c r="D329" s="136"/>
      <c r="E329" s="136"/>
      <c r="F329" s="137"/>
      <c r="G329" s="136"/>
      <c r="H329" s="135"/>
      <c r="I329" s="133"/>
    </row>
    <row r="330" spans="1:9" x14ac:dyDescent="0.25">
      <c r="A330" s="135"/>
      <c r="B330" s="136"/>
      <c r="C330" s="136"/>
      <c r="D330" s="136"/>
      <c r="E330" s="136"/>
      <c r="F330" s="137"/>
      <c r="G330" s="136"/>
      <c r="H330" s="135"/>
      <c r="I330" s="133"/>
    </row>
    <row r="331" spans="1:9" x14ac:dyDescent="0.25">
      <c r="A331" s="135"/>
      <c r="B331" s="136"/>
      <c r="C331" s="136"/>
      <c r="D331" s="136"/>
      <c r="E331" s="136"/>
      <c r="F331" s="137"/>
      <c r="G331" s="136"/>
      <c r="H331" s="135"/>
      <c r="I331" s="133"/>
    </row>
    <row r="332" spans="1:9" x14ac:dyDescent="0.25">
      <c r="A332" s="135"/>
      <c r="B332" s="136"/>
      <c r="C332" s="136"/>
      <c r="D332" s="136"/>
      <c r="E332" s="136"/>
      <c r="F332" s="137"/>
      <c r="G332" s="136"/>
      <c r="H332" s="135"/>
      <c r="I332" s="133"/>
    </row>
    <row r="333" spans="1:9" x14ac:dyDescent="0.25">
      <c r="A333" s="135"/>
      <c r="B333" s="136"/>
      <c r="C333" s="136"/>
      <c r="D333" s="136"/>
      <c r="E333" s="136"/>
      <c r="F333" s="137"/>
      <c r="G333" s="136"/>
      <c r="H333" s="135"/>
      <c r="I333" s="133"/>
    </row>
    <row r="334" spans="1:9" x14ac:dyDescent="0.25">
      <c r="A334" s="135"/>
      <c r="B334" s="136"/>
      <c r="C334" s="136"/>
      <c r="D334" s="136"/>
      <c r="E334" s="136"/>
      <c r="F334" s="137"/>
      <c r="G334" s="136"/>
      <c r="H334" s="135"/>
      <c r="I334" s="133"/>
    </row>
    <row r="335" spans="1:9" x14ac:dyDescent="0.25">
      <c r="A335" s="135"/>
      <c r="B335" s="136"/>
      <c r="C335" s="136"/>
      <c r="D335" s="136"/>
      <c r="E335" s="136"/>
      <c r="F335" s="137"/>
      <c r="G335" s="136"/>
      <c r="H335" s="135"/>
      <c r="I335" s="133"/>
    </row>
    <row r="336" spans="1:9" x14ac:dyDescent="0.25">
      <c r="A336" s="135"/>
      <c r="B336" s="136"/>
      <c r="C336" s="136"/>
      <c r="D336" s="136"/>
      <c r="E336" s="136"/>
      <c r="F336" s="137"/>
      <c r="G336" s="136"/>
      <c r="H336" s="135"/>
      <c r="I336" s="133"/>
    </row>
    <row r="337" spans="1:9" x14ac:dyDescent="0.25">
      <c r="A337" s="135"/>
      <c r="B337" s="136"/>
      <c r="C337" s="136"/>
      <c r="D337" s="136"/>
      <c r="E337" s="136"/>
      <c r="F337" s="137"/>
      <c r="G337" s="136"/>
      <c r="H337" s="135"/>
      <c r="I337" s="133"/>
    </row>
    <row r="338" spans="1:9" x14ac:dyDescent="0.25">
      <c r="A338" s="135"/>
      <c r="B338" s="136"/>
      <c r="C338" s="136"/>
      <c r="D338" s="136"/>
      <c r="E338" s="136"/>
      <c r="F338" s="137"/>
      <c r="G338" s="136"/>
      <c r="H338" s="135"/>
      <c r="I338" s="133"/>
    </row>
    <row r="339" spans="1:9" x14ac:dyDescent="0.25">
      <c r="A339" s="135"/>
      <c r="B339" s="136"/>
      <c r="C339" s="136"/>
      <c r="D339" s="136"/>
      <c r="E339" s="136"/>
      <c r="F339" s="137"/>
      <c r="G339" s="136"/>
      <c r="H339" s="135"/>
      <c r="I339" s="133"/>
    </row>
    <row r="340" spans="1:9" x14ac:dyDescent="0.25">
      <c r="A340" s="135"/>
      <c r="B340" s="136"/>
      <c r="C340" s="136"/>
      <c r="D340" s="136"/>
      <c r="E340" s="136"/>
      <c r="F340" s="137"/>
      <c r="G340" s="136"/>
      <c r="H340" s="135"/>
      <c r="I340" s="133"/>
    </row>
    <row r="341" spans="1:9" x14ac:dyDescent="0.25">
      <c r="A341" s="135"/>
      <c r="B341" s="136"/>
      <c r="C341" s="136"/>
      <c r="D341" s="136"/>
      <c r="E341" s="136"/>
      <c r="F341" s="137"/>
      <c r="G341" s="136"/>
      <c r="H341" s="135"/>
      <c r="I341" s="133"/>
    </row>
    <row r="342" spans="1:9" x14ac:dyDescent="0.25">
      <c r="A342" s="135"/>
      <c r="B342" s="136"/>
      <c r="C342" s="136"/>
      <c r="D342" s="136"/>
      <c r="E342" s="136"/>
      <c r="F342" s="137"/>
      <c r="G342" s="136"/>
      <c r="H342" s="135"/>
      <c r="I342" s="133"/>
    </row>
    <row r="343" spans="1:9" x14ac:dyDescent="0.25">
      <c r="A343" s="135"/>
      <c r="B343" s="136"/>
      <c r="C343" s="136"/>
      <c r="D343" s="136"/>
      <c r="E343" s="136"/>
      <c r="F343" s="137"/>
      <c r="G343" s="136"/>
      <c r="H343" s="135"/>
      <c r="I343" s="133"/>
    </row>
    <row r="344" spans="1:9" x14ac:dyDescent="0.25">
      <c r="A344" s="135"/>
      <c r="B344" s="136"/>
      <c r="C344" s="136"/>
      <c r="D344" s="136"/>
      <c r="E344" s="136"/>
      <c r="F344" s="137"/>
      <c r="G344" s="136"/>
      <c r="H344" s="135"/>
      <c r="I344" s="133"/>
    </row>
    <row r="345" spans="1:9" x14ac:dyDescent="0.25">
      <c r="A345" s="135"/>
      <c r="B345" s="136"/>
      <c r="C345" s="136"/>
      <c r="D345" s="136"/>
      <c r="E345" s="136"/>
      <c r="F345" s="137"/>
      <c r="G345" s="136"/>
      <c r="H345" s="135"/>
      <c r="I345" s="133"/>
    </row>
    <row r="346" spans="1:9" x14ac:dyDescent="0.25">
      <c r="A346" s="135"/>
      <c r="B346" s="136"/>
      <c r="C346" s="136"/>
      <c r="D346" s="136"/>
      <c r="E346" s="136"/>
      <c r="F346" s="137"/>
      <c r="G346" s="136"/>
      <c r="H346" s="135"/>
      <c r="I346" s="133"/>
    </row>
    <row r="347" spans="1:9" x14ac:dyDescent="0.25">
      <c r="A347" s="135"/>
      <c r="B347" s="136"/>
      <c r="C347" s="136"/>
      <c r="D347" s="136"/>
      <c r="E347" s="136"/>
      <c r="F347" s="137"/>
      <c r="G347" s="136"/>
      <c r="H347" s="135"/>
      <c r="I347" s="133"/>
    </row>
    <row r="348" spans="1:9" x14ac:dyDescent="0.25">
      <c r="A348" s="135"/>
      <c r="B348" s="136"/>
      <c r="C348" s="136"/>
      <c r="D348" s="136"/>
      <c r="E348" s="136"/>
      <c r="F348" s="137"/>
      <c r="G348" s="136"/>
      <c r="H348" s="135"/>
      <c r="I348" s="133"/>
    </row>
    <row r="349" spans="1:9" x14ac:dyDescent="0.25">
      <c r="A349" s="135"/>
      <c r="B349" s="136"/>
      <c r="C349" s="136"/>
      <c r="D349" s="136"/>
      <c r="E349" s="136"/>
      <c r="F349" s="137"/>
      <c r="G349" s="136"/>
      <c r="H349" s="135"/>
      <c r="I349" s="133"/>
    </row>
    <row r="350" spans="1:9" x14ac:dyDescent="0.25">
      <c r="A350" s="135"/>
      <c r="B350" s="136"/>
      <c r="C350" s="136"/>
      <c r="D350" s="136"/>
      <c r="E350" s="136"/>
      <c r="F350" s="137"/>
      <c r="G350" s="136"/>
      <c r="H350" s="135"/>
      <c r="I350" s="133"/>
    </row>
    <row r="351" spans="1:9" x14ac:dyDescent="0.25">
      <c r="A351" s="135"/>
      <c r="B351" s="136"/>
      <c r="C351" s="136"/>
      <c r="D351" s="136"/>
      <c r="E351" s="136"/>
      <c r="F351" s="137"/>
      <c r="G351" s="136"/>
      <c r="H351" s="135"/>
      <c r="I351" s="133"/>
    </row>
    <row r="352" spans="1:9" x14ac:dyDescent="0.25">
      <c r="A352" s="135"/>
      <c r="B352" s="136"/>
      <c r="C352" s="136"/>
      <c r="D352" s="136"/>
      <c r="E352" s="136"/>
      <c r="F352" s="137"/>
      <c r="G352" s="136"/>
      <c r="H352" s="135"/>
      <c r="I352" s="133"/>
    </row>
    <row r="353" spans="1:9" x14ac:dyDescent="0.25">
      <c r="A353" s="135"/>
      <c r="B353" s="136"/>
      <c r="C353" s="136"/>
      <c r="D353" s="136"/>
      <c r="E353" s="136"/>
      <c r="F353" s="137"/>
      <c r="G353" s="136"/>
      <c r="H353" s="135"/>
      <c r="I353" s="133"/>
    </row>
    <row r="354" spans="1:9" x14ac:dyDescent="0.25">
      <c r="A354" s="135"/>
      <c r="B354" s="136"/>
      <c r="C354" s="136"/>
      <c r="D354" s="136"/>
      <c r="E354" s="136"/>
      <c r="F354" s="137"/>
      <c r="G354" s="136"/>
      <c r="H354" s="135"/>
      <c r="I354" s="133"/>
    </row>
    <row r="355" spans="1:9" x14ac:dyDescent="0.25">
      <c r="A355" s="135"/>
      <c r="B355" s="136"/>
      <c r="C355" s="136"/>
      <c r="D355" s="136"/>
      <c r="E355" s="136"/>
      <c r="F355" s="137"/>
      <c r="G355" s="136"/>
      <c r="H355" s="135"/>
      <c r="I355" s="133"/>
    </row>
    <row r="356" spans="1:9" x14ac:dyDescent="0.25">
      <c r="A356" s="135"/>
      <c r="B356" s="136"/>
      <c r="C356" s="136"/>
      <c r="D356" s="136"/>
      <c r="E356" s="136"/>
      <c r="F356" s="137"/>
      <c r="G356" s="136"/>
      <c r="H356" s="135"/>
      <c r="I356" s="133"/>
    </row>
    <row r="357" spans="1:9" x14ac:dyDescent="0.25">
      <c r="A357" s="135"/>
      <c r="B357" s="136"/>
      <c r="C357" s="136"/>
      <c r="D357" s="136"/>
      <c r="E357" s="136"/>
      <c r="F357" s="137"/>
      <c r="G357" s="136"/>
      <c r="H357" s="135"/>
      <c r="I357" s="133"/>
    </row>
    <row r="358" spans="1:9" x14ac:dyDescent="0.25">
      <c r="A358" s="135"/>
      <c r="B358" s="136"/>
      <c r="C358" s="136"/>
      <c r="D358" s="136"/>
      <c r="E358" s="136"/>
      <c r="F358" s="137"/>
      <c r="G358" s="136"/>
      <c r="H358" s="135"/>
      <c r="I358" s="133"/>
    </row>
    <row r="359" spans="1:9" x14ac:dyDescent="0.25">
      <c r="A359" s="135"/>
      <c r="B359" s="136"/>
      <c r="C359" s="136"/>
      <c r="D359" s="136"/>
      <c r="E359" s="136"/>
      <c r="F359" s="137"/>
      <c r="G359" s="136"/>
      <c r="H359" s="135"/>
      <c r="I359" s="133"/>
    </row>
    <row r="360" spans="1:9" x14ac:dyDescent="0.25">
      <c r="A360" s="135"/>
      <c r="B360" s="136"/>
      <c r="C360" s="136"/>
      <c r="D360" s="136"/>
      <c r="E360" s="136"/>
      <c r="F360" s="137"/>
      <c r="G360" s="136"/>
      <c r="H360" s="135"/>
      <c r="I360" s="133"/>
    </row>
    <row r="361" spans="1:9" x14ac:dyDescent="0.25">
      <c r="A361" s="135"/>
      <c r="B361" s="136"/>
      <c r="C361" s="136"/>
      <c r="D361" s="136"/>
      <c r="E361" s="136"/>
      <c r="F361" s="137"/>
      <c r="G361" s="136"/>
      <c r="H361" s="135"/>
      <c r="I361" s="133"/>
    </row>
    <row r="362" spans="1:9" x14ac:dyDescent="0.25">
      <c r="A362" s="135"/>
      <c r="B362" s="136"/>
      <c r="C362" s="136"/>
      <c r="D362" s="136"/>
      <c r="E362" s="136"/>
      <c r="F362" s="137"/>
      <c r="G362" s="136"/>
      <c r="H362" s="135"/>
      <c r="I362" s="133"/>
    </row>
    <row r="363" spans="1:9" x14ac:dyDescent="0.25">
      <c r="A363" s="135"/>
      <c r="B363" s="136"/>
      <c r="C363" s="136"/>
      <c r="D363" s="136"/>
      <c r="E363" s="136"/>
      <c r="F363" s="137"/>
      <c r="G363" s="136"/>
      <c r="H363" s="135"/>
      <c r="I363" s="133"/>
    </row>
    <row r="364" spans="1:9" x14ac:dyDescent="0.25">
      <c r="A364" s="135"/>
      <c r="B364" s="136"/>
      <c r="C364" s="136"/>
      <c r="D364" s="136"/>
      <c r="E364" s="136"/>
      <c r="F364" s="137"/>
      <c r="G364" s="136"/>
      <c r="H364" s="135"/>
      <c r="I364" s="133"/>
    </row>
    <row r="365" spans="1:9" x14ac:dyDescent="0.25">
      <c r="A365" s="135"/>
      <c r="B365" s="136"/>
      <c r="C365" s="136"/>
      <c r="D365" s="136"/>
      <c r="E365" s="136"/>
      <c r="F365" s="137"/>
      <c r="G365" s="136"/>
      <c r="H365" s="135"/>
      <c r="I365" s="133"/>
    </row>
    <row r="366" spans="1:9" x14ac:dyDescent="0.25">
      <c r="A366" s="135"/>
      <c r="B366" s="136"/>
      <c r="C366" s="136"/>
      <c r="D366" s="136"/>
      <c r="E366" s="136"/>
      <c r="F366" s="137"/>
      <c r="G366" s="136"/>
      <c r="H366" s="135"/>
      <c r="I366" s="133"/>
    </row>
    <row r="367" spans="1:9" x14ac:dyDescent="0.25">
      <c r="A367" s="135"/>
      <c r="B367" s="136"/>
      <c r="C367" s="136"/>
      <c r="D367" s="136"/>
      <c r="E367" s="136"/>
      <c r="F367" s="137"/>
      <c r="G367" s="136"/>
      <c r="H367" s="135"/>
      <c r="I367" s="133"/>
    </row>
    <row r="368" spans="1:9" x14ac:dyDescent="0.25">
      <c r="A368" s="135"/>
      <c r="B368" s="136"/>
      <c r="C368" s="136"/>
      <c r="D368" s="136"/>
      <c r="E368" s="136"/>
      <c r="F368" s="137"/>
      <c r="G368" s="136"/>
      <c r="H368" s="135"/>
      <c r="I368" s="133"/>
    </row>
    <row r="369" spans="1:9" x14ac:dyDescent="0.25">
      <c r="A369" s="135"/>
      <c r="B369" s="136"/>
      <c r="C369" s="136"/>
      <c r="D369" s="136"/>
      <c r="E369" s="136"/>
      <c r="F369" s="137"/>
      <c r="G369" s="136"/>
      <c r="H369" s="135"/>
      <c r="I369" s="133"/>
    </row>
    <row r="370" spans="1:9" x14ac:dyDescent="0.25">
      <c r="A370" s="135"/>
      <c r="B370" s="136"/>
      <c r="C370" s="136"/>
      <c r="D370" s="136"/>
      <c r="E370" s="136"/>
      <c r="F370" s="137"/>
      <c r="G370" s="136"/>
      <c r="H370" s="135"/>
      <c r="I370" s="133"/>
    </row>
    <row r="371" spans="1:9" x14ac:dyDescent="0.25">
      <c r="A371" s="135"/>
      <c r="B371" s="136"/>
      <c r="C371" s="136"/>
      <c r="D371" s="136"/>
      <c r="E371" s="136"/>
      <c r="F371" s="137"/>
      <c r="G371" s="136"/>
      <c r="H371" s="135"/>
      <c r="I371" s="133"/>
    </row>
    <row r="372" spans="1:9" x14ac:dyDescent="0.25">
      <c r="A372" s="135"/>
      <c r="B372" s="136"/>
      <c r="C372" s="136"/>
      <c r="D372" s="136"/>
      <c r="E372" s="136"/>
      <c r="F372" s="137"/>
      <c r="G372" s="136"/>
      <c r="H372" s="135"/>
      <c r="I372" s="133"/>
    </row>
    <row r="373" spans="1:9" x14ac:dyDescent="0.25">
      <c r="A373" s="135"/>
      <c r="B373" s="136"/>
      <c r="C373" s="136"/>
      <c r="D373" s="136"/>
      <c r="E373" s="136"/>
      <c r="F373" s="137"/>
      <c r="G373" s="136"/>
      <c r="H373" s="135"/>
      <c r="I373" s="133"/>
    </row>
    <row r="374" spans="1:9" x14ac:dyDescent="0.25">
      <c r="A374" s="135"/>
      <c r="B374" s="136"/>
      <c r="C374" s="136"/>
      <c r="D374" s="136"/>
      <c r="E374" s="136"/>
      <c r="F374" s="137"/>
      <c r="G374" s="136"/>
      <c r="H374" s="135"/>
      <c r="I374" s="133"/>
    </row>
    <row r="375" spans="1:9" x14ac:dyDescent="0.25">
      <c r="A375" s="135"/>
      <c r="B375" s="136"/>
      <c r="C375" s="136"/>
      <c r="D375" s="136"/>
      <c r="E375" s="136"/>
      <c r="F375" s="137"/>
      <c r="G375" s="136"/>
      <c r="H375" s="135"/>
      <c r="I375" s="133"/>
    </row>
    <row r="376" spans="1:9" x14ac:dyDescent="0.25">
      <c r="A376" s="135"/>
      <c r="B376" s="136"/>
      <c r="C376" s="136"/>
      <c r="D376" s="136"/>
      <c r="E376" s="136"/>
      <c r="F376" s="137"/>
      <c r="G376" s="136"/>
      <c r="H376" s="135"/>
      <c r="I376" s="133"/>
    </row>
    <row r="377" spans="1:9" x14ac:dyDescent="0.25">
      <c r="A377" s="135"/>
      <c r="B377" s="136"/>
      <c r="C377" s="136"/>
      <c r="D377" s="136"/>
      <c r="E377" s="136"/>
      <c r="F377" s="137"/>
      <c r="G377" s="136"/>
      <c r="H377" s="135"/>
      <c r="I377" s="133"/>
    </row>
    <row r="378" spans="1:9" x14ac:dyDescent="0.25">
      <c r="A378" s="135"/>
      <c r="B378" s="136"/>
      <c r="C378" s="136"/>
      <c r="D378" s="136"/>
      <c r="E378" s="136"/>
      <c r="F378" s="137"/>
      <c r="G378" s="136"/>
      <c r="H378" s="135"/>
      <c r="I378" s="133"/>
    </row>
    <row r="379" spans="1:9" x14ac:dyDescent="0.25">
      <c r="A379" s="135"/>
      <c r="B379" s="136"/>
      <c r="C379" s="136"/>
      <c r="D379" s="136"/>
      <c r="E379" s="136"/>
      <c r="F379" s="137"/>
      <c r="G379" s="136"/>
      <c r="H379" s="135"/>
      <c r="I379" s="133"/>
    </row>
    <row r="380" spans="1:9" x14ac:dyDescent="0.25">
      <c r="A380" s="135"/>
      <c r="B380" s="136"/>
      <c r="C380" s="136"/>
      <c r="D380" s="136"/>
      <c r="E380" s="136"/>
      <c r="F380" s="137"/>
      <c r="G380" s="136"/>
      <c r="H380" s="135"/>
      <c r="I380" s="133"/>
    </row>
    <row r="381" spans="1:9" x14ac:dyDescent="0.25">
      <c r="A381" s="135"/>
      <c r="B381" s="136"/>
      <c r="C381" s="136"/>
      <c r="D381" s="136"/>
      <c r="E381" s="136"/>
      <c r="F381" s="137"/>
      <c r="G381" s="136"/>
      <c r="H381" s="135"/>
      <c r="I381" s="133"/>
    </row>
    <row r="382" spans="1:9" x14ac:dyDescent="0.25">
      <c r="A382" s="135"/>
      <c r="B382" s="136"/>
      <c r="C382" s="136"/>
      <c r="D382" s="136"/>
      <c r="E382" s="136"/>
      <c r="F382" s="137"/>
      <c r="G382" s="136"/>
      <c r="H382" s="135"/>
      <c r="I382" s="133"/>
    </row>
    <row r="383" spans="1:9" x14ac:dyDescent="0.25">
      <c r="A383" s="135"/>
      <c r="B383" s="136"/>
      <c r="C383" s="136"/>
      <c r="D383" s="136"/>
      <c r="E383" s="136"/>
      <c r="F383" s="137"/>
      <c r="G383" s="136"/>
      <c r="H383" s="135"/>
      <c r="I383" s="133"/>
    </row>
    <row r="384" spans="1:9" x14ac:dyDescent="0.25">
      <c r="A384" s="135"/>
      <c r="B384" s="136"/>
      <c r="C384" s="136"/>
      <c r="D384" s="136"/>
      <c r="E384" s="136"/>
      <c r="F384" s="137"/>
      <c r="G384" s="136"/>
      <c r="H384" s="135"/>
      <c r="I384" s="133"/>
    </row>
    <row r="385" spans="1:9" x14ac:dyDescent="0.25">
      <c r="A385" s="135"/>
      <c r="B385" s="136"/>
      <c r="C385" s="136"/>
      <c r="D385" s="136"/>
      <c r="E385" s="136"/>
      <c r="F385" s="137"/>
      <c r="G385" s="136"/>
      <c r="H385" s="135"/>
      <c r="I385" s="133"/>
    </row>
    <row r="386" spans="1:9" x14ac:dyDescent="0.25">
      <c r="A386" s="135"/>
      <c r="B386" s="136"/>
      <c r="C386" s="136"/>
      <c r="D386" s="136"/>
      <c r="E386" s="136"/>
      <c r="F386" s="137"/>
      <c r="G386" s="136"/>
      <c r="H386" s="135"/>
      <c r="I386" s="133"/>
    </row>
    <row r="387" spans="1:9" x14ac:dyDescent="0.25">
      <c r="A387" s="135"/>
      <c r="B387" s="136"/>
      <c r="C387" s="136"/>
      <c r="D387" s="136"/>
      <c r="E387" s="136"/>
      <c r="F387" s="137"/>
      <c r="G387" s="136"/>
      <c r="H387" s="135"/>
      <c r="I387" s="133"/>
    </row>
    <row r="388" spans="1:9" x14ac:dyDescent="0.25">
      <c r="A388" s="135"/>
      <c r="B388" s="136"/>
      <c r="C388" s="136"/>
      <c r="D388" s="136"/>
      <c r="E388" s="136"/>
      <c r="F388" s="137"/>
      <c r="G388" s="136"/>
      <c r="H388" s="135"/>
      <c r="I388" s="133"/>
    </row>
    <row r="389" spans="1:9" x14ac:dyDescent="0.25">
      <c r="A389" s="135"/>
      <c r="B389" s="136"/>
      <c r="C389" s="136"/>
      <c r="D389" s="136"/>
      <c r="E389" s="136"/>
      <c r="F389" s="137"/>
      <c r="G389" s="136"/>
      <c r="H389" s="135"/>
      <c r="I389" s="133"/>
    </row>
    <row r="390" spans="1:9" x14ac:dyDescent="0.25">
      <c r="A390" s="135"/>
      <c r="B390" s="136"/>
      <c r="C390" s="136"/>
      <c r="D390" s="136"/>
      <c r="E390" s="136"/>
      <c r="F390" s="137"/>
      <c r="G390" s="136"/>
      <c r="H390" s="135"/>
      <c r="I390" s="133"/>
    </row>
    <row r="391" spans="1:9" x14ac:dyDescent="0.25">
      <c r="A391" s="135"/>
      <c r="B391" s="136"/>
      <c r="C391" s="136"/>
      <c r="D391" s="136"/>
      <c r="E391" s="136"/>
      <c r="F391" s="137"/>
      <c r="G391" s="136"/>
      <c r="H391" s="135"/>
      <c r="I391" s="133"/>
    </row>
    <row r="392" spans="1:9" x14ac:dyDescent="0.25">
      <c r="A392" s="135"/>
      <c r="B392" s="136"/>
      <c r="C392" s="136"/>
      <c r="D392" s="136"/>
      <c r="E392" s="136"/>
      <c r="F392" s="137"/>
      <c r="G392" s="136"/>
      <c r="H392" s="135"/>
      <c r="I392" s="133"/>
    </row>
    <row r="393" spans="1:9" x14ac:dyDescent="0.25">
      <c r="A393" s="135"/>
      <c r="B393" s="136"/>
      <c r="C393" s="136"/>
      <c r="D393" s="136"/>
      <c r="E393" s="136"/>
      <c r="F393" s="137"/>
      <c r="G393" s="136"/>
      <c r="H393" s="135"/>
      <c r="I393" s="133"/>
    </row>
    <row r="394" spans="1:9" x14ac:dyDescent="0.25">
      <c r="A394" s="135"/>
      <c r="B394" s="136"/>
      <c r="C394" s="136"/>
      <c r="D394" s="136"/>
      <c r="E394" s="136"/>
      <c r="F394" s="137"/>
      <c r="G394" s="136"/>
      <c r="H394" s="135"/>
      <c r="I394" s="133"/>
    </row>
    <row r="395" spans="1:9" x14ac:dyDescent="0.25">
      <c r="A395" s="135"/>
      <c r="B395" s="136"/>
      <c r="C395" s="136"/>
      <c r="D395" s="136"/>
      <c r="E395" s="136"/>
      <c r="F395" s="137"/>
      <c r="G395" s="136"/>
      <c r="H395" s="135"/>
      <c r="I395" s="133"/>
    </row>
    <row r="396" spans="1:9" x14ac:dyDescent="0.25">
      <c r="A396" s="135"/>
      <c r="B396" s="136"/>
      <c r="C396" s="136"/>
      <c r="D396" s="136"/>
      <c r="E396" s="136"/>
      <c r="F396" s="137"/>
      <c r="G396" s="136"/>
      <c r="H396" s="135"/>
      <c r="I396" s="133"/>
    </row>
    <row r="397" spans="1:9" x14ac:dyDescent="0.25">
      <c r="A397" s="135"/>
      <c r="B397" s="136"/>
      <c r="C397" s="136"/>
      <c r="D397" s="136"/>
      <c r="E397" s="136"/>
      <c r="F397" s="137"/>
      <c r="G397" s="136"/>
      <c r="H397" s="135"/>
      <c r="I397" s="133"/>
    </row>
    <row r="398" spans="1:9" x14ac:dyDescent="0.25">
      <c r="A398" s="135"/>
      <c r="B398" s="136"/>
      <c r="C398" s="136"/>
      <c r="D398" s="136"/>
      <c r="E398" s="136"/>
      <c r="F398" s="137"/>
      <c r="G398" s="136"/>
      <c r="H398" s="135"/>
      <c r="I398" s="133"/>
    </row>
    <row r="399" spans="1:9" x14ac:dyDescent="0.25">
      <c r="A399" s="135"/>
      <c r="B399" s="136"/>
      <c r="C399" s="136"/>
      <c r="D399" s="136"/>
      <c r="E399" s="136"/>
      <c r="F399" s="137"/>
      <c r="G399" s="136"/>
      <c r="H399" s="135"/>
      <c r="I399" s="133"/>
    </row>
    <row r="400" spans="1:9" x14ac:dyDescent="0.25">
      <c r="A400" s="135"/>
      <c r="B400" s="136"/>
      <c r="C400" s="136"/>
      <c r="D400" s="136"/>
      <c r="E400" s="136"/>
      <c r="F400" s="137"/>
      <c r="G400" s="136"/>
      <c r="H400" s="135"/>
      <c r="I400" s="133"/>
    </row>
    <row r="401" spans="1:9" x14ac:dyDescent="0.25">
      <c r="A401" s="135"/>
      <c r="B401" s="136"/>
      <c r="C401" s="136"/>
      <c r="D401" s="136"/>
      <c r="E401" s="136"/>
      <c r="F401" s="137"/>
      <c r="G401" s="136"/>
      <c r="H401" s="135"/>
      <c r="I401" s="133"/>
    </row>
    <row r="402" spans="1:9" x14ac:dyDescent="0.25">
      <c r="A402" s="135"/>
      <c r="B402" s="136"/>
      <c r="C402" s="136"/>
      <c r="D402" s="136"/>
      <c r="E402" s="136"/>
      <c r="F402" s="137"/>
      <c r="G402" s="136"/>
      <c r="H402" s="135"/>
      <c r="I402" s="133"/>
    </row>
    <row r="403" spans="1:9" x14ac:dyDescent="0.25">
      <c r="A403" s="135"/>
      <c r="B403" s="136"/>
      <c r="C403" s="136"/>
      <c r="D403" s="136"/>
      <c r="E403" s="136"/>
      <c r="F403" s="137"/>
      <c r="G403" s="136"/>
      <c r="H403" s="135"/>
      <c r="I403" s="133"/>
    </row>
    <row r="404" spans="1:9" x14ac:dyDescent="0.25">
      <c r="A404" s="135"/>
      <c r="B404" s="136"/>
      <c r="C404" s="136"/>
      <c r="D404" s="136"/>
      <c r="E404" s="136"/>
      <c r="F404" s="137"/>
      <c r="G404" s="136"/>
      <c r="H404" s="135"/>
      <c r="I404" s="133"/>
    </row>
    <row r="405" spans="1:9" x14ac:dyDescent="0.25">
      <c r="A405" s="135"/>
      <c r="B405" s="136"/>
      <c r="C405" s="136"/>
      <c r="D405" s="136"/>
      <c r="E405" s="136"/>
      <c r="F405" s="137"/>
      <c r="G405" s="136"/>
      <c r="H405" s="135"/>
      <c r="I405" s="133"/>
    </row>
    <row r="406" spans="1:9" x14ac:dyDescent="0.25">
      <c r="A406" s="135"/>
      <c r="B406" s="136"/>
      <c r="C406" s="136"/>
      <c r="D406" s="136"/>
      <c r="E406" s="136"/>
      <c r="F406" s="137"/>
      <c r="G406" s="136"/>
      <c r="H406" s="135"/>
      <c r="I406" s="133"/>
    </row>
    <row r="407" spans="1:9" x14ac:dyDescent="0.25">
      <c r="A407" s="135"/>
      <c r="B407" s="136"/>
      <c r="C407" s="136"/>
      <c r="D407" s="136"/>
      <c r="E407" s="136"/>
      <c r="F407" s="137"/>
      <c r="G407" s="136"/>
      <c r="H407" s="135"/>
      <c r="I407" s="133"/>
    </row>
    <row r="408" spans="1:9" x14ac:dyDescent="0.25">
      <c r="A408" s="135"/>
      <c r="B408" s="136"/>
      <c r="C408" s="136"/>
      <c r="D408" s="136"/>
      <c r="E408" s="136"/>
      <c r="F408" s="137"/>
      <c r="G408" s="136"/>
      <c r="H408" s="135"/>
      <c r="I408" s="133"/>
    </row>
    <row r="409" spans="1:9" x14ac:dyDescent="0.25">
      <c r="A409" s="135"/>
      <c r="B409" s="136"/>
      <c r="C409" s="136"/>
      <c r="D409" s="136"/>
      <c r="E409" s="136"/>
      <c r="F409" s="137"/>
      <c r="G409" s="136"/>
      <c r="H409" s="135"/>
      <c r="I409" s="133"/>
    </row>
    <row r="410" spans="1:9" x14ac:dyDescent="0.25">
      <c r="A410" s="135"/>
      <c r="B410" s="136"/>
      <c r="C410" s="136"/>
      <c r="D410" s="136"/>
      <c r="E410" s="136"/>
      <c r="F410" s="137"/>
      <c r="G410" s="136"/>
      <c r="H410" s="135"/>
      <c r="I410" s="133"/>
    </row>
    <row r="411" spans="1:9" x14ac:dyDescent="0.25">
      <c r="A411" s="135"/>
      <c r="B411" s="136"/>
      <c r="C411" s="136"/>
      <c r="D411" s="136"/>
      <c r="E411" s="136"/>
      <c r="F411" s="137"/>
      <c r="G411" s="136"/>
      <c r="H411" s="135"/>
      <c r="I411" s="133"/>
    </row>
    <row r="412" spans="1:9" x14ac:dyDescent="0.25">
      <c r="A412" s="135"/>
      <c r="B412" s="136"/>
      <c r="C412" s="136"/>
      <c r="D412" s="136"/>
      <c r="E412" s="136"/>
      <c r="F412" s="137"/>
      <c r="G412" s="136"/>
      <c r="H412" s="135"/>
      <c r="I412" s="133"/>
    </row>
    <row r="413" spans="1:9" x14ac:dyDescent="0.25">
      <c r="A413" s="135"/>
      <c r="B413" s="136"/>
      <c r="C413" s="136"/>
      <c r="D413" s="136"/>
      <c r="E413" s="136"/>
      <c r="F413" s="137"/>
      <c r="G413" s="136"/>
      <c r="H413" s="135"/>
      <c r="I413" s="133"/>
    </row>
    <row r="414" spans="1:9" x14ac:dyDescent="0.25">
      <c r="A414" s="135"/>
      <c r="B414" s="136"/>
      <c r="C414" s="136"/>
      <c r="D414" s="136"/>
      <c r="E414" s="136"/>
      <c r="F414" s="137"/>
      <c r="G414" s="136"/>
      <c r="H414" s="135"/>
      <c r="I414" s="133"/>
    </row>
    <row r="415" spans="1:9" x14ac:dyDescent="0.25">
      <c r="A415" s="135"/>
      <c r="B415" s="136"/>
      <c r="C415" s="136"/>
      <c r="D415" s="136"/>
      <c r="E415" s="136"/>
      <c r="F415" s="137"/>
      <c r="G415" s="136"/>
      <c r="H415" s="135"/>
      <c r="I415" s="133"/>
    </row>
    <row r="416" spans="1:9" x14ac:dyDescent="0.25">
      <c r="A416" s="135"/>
      <c r="B416" s="136"/>
      <c r="C416" s="136"/>
      <c r="D416" s="136"/>
      <c r="E416" s="136"/>
      <c r="F416" s="137"/>
      <c r="G416" s="136"/>
      <c r="H416" s="135"/>
      <c r="I416" s="133"/>
    </row>
    <row r="417" spans="1:9" x14ac:dyDescent="0.25">
      <c r="A417" s="135"/>
      <c r="B417" s="136"/>
      <c r="C417" s="136"/>
      <c r="D417" s="136"/>
      <c r="E417" s="136"/>
      <c r="F417" s="137"/>
      <c r="G417" s="136"/>
      <c r="H417" s="135"/>
      <c r="I417" s="133"/>
    </row>
    <row r="418" spans="1:9" x14ac:dyDescent="0.25">
      <c r="A418" s="135"/>
      <c r="B418" s="136"/>
      <c r="C418" s="136"/>
      <c r="D418" s="136"/>
      <c r="E418" s="136"/>
      <c r="F418" s="137"/>
      <c r="G418" s="136"/>
      <c r="H418" s="135"/>
      <c r="I418" s="133"/>
    </row>
    <row r="419" spans="1:9" x14ac:dyDescent="0.25">
      <c r="A419" s="135"/>
      <c r="B419" s="136"/>
      <c r="C419" s="136"/>
      <c r="D419" s="136"/>
      <c r="E419" s="136"/>
      <c r="F419" s="137"/>
      <c r="G419" s="136"/>
      <c r="H419" s="135"/>
      <c r="I419" s="133"/>
    </row>
    <row r="420" spans="1:9" x14ac:dyDescent="0.25">
      <c r="A420" s="135"/>
      <c r="B420" s="136"/>
      <c r="C420" s="136"/>
      <c r="D420" s="136"/>
      <c r="E420" s="136"/>
      <c r="F420" s="137"/>
      <c r="G420" s="136"/>
      <c r="H420" s="135"/>
      <c r="I420" s="133"/>
    </row>
    <row r="421" spans="1:9" x14ac:dyDescent="0.25">
      <c r="A421" s="135"/>
      <c r="B421" s="136"/>
      <c r="C421" s="136"/>
      <c r="D421" s="136"/>
      <c r="E421" s="136"/>
      <c r="F421" s="137"/>
      <c r="G421" s="136"/>
      <c r="H421" s="135"/>
      <c r="I421" s="133"/>
    </row>
    <row r="422" spans="1:9" x14ac:dyDescent="0.25">
      <c r="A422" s="135"/>
      <c r="B422" s="136"/>
      <c r="C422" s="136"/>
      <c r="D422" s="136"/>
      <c r="E422" s="136"/>
      <c r="F422" s="137"/>
      <c r="G422" s="136"/>
      <c r="H422" s="135"/>
      <c r="I422" s="133"/>
    </row>
    <row r="423" spans="1:9" x14ac:dyDescent="0.25">
      <c r="A423" s="135"/>
      <c r="B423" s="136"/>
      <c r="C423" s="136"/>
      <c r="D423" s="136"/>
      <c r="E423" s="136"/>
      <c r="F423" s="137"/>
      <c r="G423" s="136"/>
      <c r="H423" s="135"/>
      <c r="I423" s="133"/>
    </row>
    <row r="424" spans="1:9" x14ac:dyDescent="0.25">
      <c r="A424" s="135"/>
      <c r="B424" s="136"/>
      <c r="C424" s="136"/>
      <c r="D424" s="136"/>
      <c r="E424" s="136"/>
      <c r="F424" s="137"/>
      <c r="G424" s="136"/>
      <c r="H424" s="135"/>
      <c r="I424" s="133"/>
    </row>
    <row r="425" spans="1:9" x14ac:dyDescent="0.25">
      <c r="A425" s="135"/>
      <c r="B425" s="136"/>
      <c r="C425" s="136"/>
      <c r="D425" s="136"/>
      <c r="E425" s="136"/>
      <c r="F425" s="137"/>
      <c r="G425" s="136"/>
      <c r="H425" s="135"/>
      <c r="I425" s="133"/>
    </row>
    <row r="426" spans="1:9" x14ac:dyDescent="0.25">
      <c r="A426" s="135"/>
      <c r="B426" s="136"/>
      <c r="C426" s="136"/>
      <c r="D426" s="136"/>
      <c r="E426" s="136"/>
      <c r="F426" s="137"/>
      <c r="G426" s="136"/>
      <c r="H426" s="135"/>
      <c r="I426" s="133"/>
    </row>
    <row r="427" spans="1:9" x14ac:dyDescent="0.25">
      <c r="A427" s="135"/>
      <c r="B427" s="136"/>
      <c r="C427" s="136"/>
      <c r="D427" s="136"/>
      <c r="E427" s="136"/>
      <c r="F427" s="137"/>
      <c r="G427" s="136"/>
      <c r="H427" s="135"/>
      <c r="I427" s="133"/>
    </row>
    <row r="428" spans="1:9" x14ac:dyDescent="0.25">
      <c r="A428" s="135"/>
      <c r="B428" s="136"/>
      <c r="C428" s="136"/>
      <c r="D428" s="136"/>
      <c r="E428" s="136"/>
      <c r="F428" s="137"/>
      <c r="G428" s="136"/>
      <c r="H428" s="135"/>
      <c r="I428" s="133"/>
    </row>
    <row r="429" spans="1:9" x14ac:dyDescent="0.25">
      <c r="A429" s="135"/>
      <c r="B429" s="136"/>
      <c r="C429" s="136"/>
      <c r="D429" s="136"/>
      <c r="E429" s="136"/>
      <c r="F429" s="137"/>
      <c r="G429" s="136"/>
      <c r="H429" s="135"/>
      <c r="I429" s="133"/>
    </row>
    <row r="430" spans="1:9" x14ac:dyDescent="0.25">
      <c r="A430" s="135"/>
      <c r="B430" s="136"/>
      <c r="C430" s="136"/>
      <c r="D430" s="136"/>
      <c r="E430" s="136"/>
      <c r="F430" s="137"/>
      <c r="G430" s="136"/>
      <c r="H430" s="135"/>
      <c r="I430" s="133"/>
    </row>
    <row r="431" spans="1:9" x14ac:dyDescent="0.25">
      <c r="A431" s="135"/>
      <c r="B431" s="136"/>
      <c r="C431" s="136"/>
      <c r="D431" s="136"/>
      <c r="E431" s="136"/>
      <c r="F431" s="137"/>
      <c r="G431" s="136"/>
      <c r="H431" s="135"/>
      <c r="I431" s="133"/>
    </row>
    <row r="432" spans="1:9" x14ac:dyDescent="0.25">
      <c r="A432" s="135"/>
      <c r="B432" s="136"/>
      <c r="C432" s="136"/>
      <c r="D432" s="136"/>
      <c r="E432" s="136"/>
      <c r="F432" s="137"/>
      <c r="G432" s="136"/>
      <c r="H432" s="135"/>
      <c r="I432" s="133"/>
    </row>
    <row r="433" spans="1:9" x14ac:dyDescent="0.25">
      <c r="A433" s="135"/>
      <c r="B433" s="136"/>
      <c r="C433" s="136"/>
      <c r="D433" s="136"/>
      <c r="E433" s="136"/>
      <c r="F433" s="137"/>
      <c r="G433" s="136"/>
      <c r="H433" s="135"/>
      <c r="I433" s="133"/>
    </row>
    <row r="434" spans="1:9" x14ac:dyDescent="0.25">
      <c r="A434" s="135"/>
      <c r="B434" s="136"/>
      <c r="C434" s="136"/>
      <c r="D434" s="136"/>
      <c r="E434" s="136"/>
      <c r="F434" s="137"/>
      <c r="G434" s="136"/>
      <c r="H434" s="135"/>
      <c r="I434" s="133"/>
    </row>
    <row r="435" spans="1:9" x14ac:dyDescent="0.25">
      <c r="A435" s="135"/>
      <c r="B435" s="136"/>
      <c r="C435" s="136"/>
      <c r="D435" s="136"/>
      <c r="E435" s="136"/>
      <c r="F435" s="137"/>
      <c r="G435" s="136"/>
      <c r="H435" s="135"/>
      <c r="I435" s="133"/>
    </row>
    <row r="436" spans="1:9" x14ac:dyDescent="0.25">
      <c r="A436" s="135"/>
      <c r="B436" s="136"/>
      <c r="C436" s="136"/>
      <c r="D436" s="136"/>
      <c r="E436" s="136"/>
      <c r="F436" s="137"/>
      <c r="G436" s="136"/>
      <c r="H436" s="135"/>
      <c r="I436" s="133"/>
    </row>
    <row r="437" spans="1:9" x14ac:dyDescent="0.25">
      <c r="A437" s="135"/>
      <c r="B437" s="136"/>
      <c r="C437" s="136"/>
      <c r="D437" s="136"/>
      <c r="E437" s="136"/>
      <c r="F437" s="137"/>
      <c r="G437" s="136"/>
      <c r="H437" s="135"/>
      <c r="I437" s="133"/>
    </row>
    <row r="438" spans="1:9" x14ac:dyDescent="0.25">
      <c r="A438" s="135"/>
      <c r="B438" s="136"/>
      <c r="C438" s="136"/>
      <c r="D438" s="136"/>
      <c r="E438" s="136"/>
      <c r="F438" s="137"/>
      <c r="G438" s="136"/>
      <c r="H438" s="135"/>
      <c r="I438" s="133"/>
    </row>
    <row r="439" spans="1:9" x14ac:dyDescent="0.25">
      <c r="A439" s="135"/>
      <c r="B439" s="136"/>
      <c r="C439" s="136"/>
      <c r="D439" s="136"/>
      <c r="E439" s="136"/>
      <c r="F439" s="137"/>
      <c r="G439" s="136"/>
      <c r="H439" s="135"/>
      <c r="I439" s="133"/>
    </row>
    <row r="440" spans="1:9" x14ac:dyDescent="0.25">
      <c r="A440" s="135"/>
      <c r="B440" s="136"/>
      <c r="C440" s="136"/>
      <c r="D440" s="136"/>
      <c r="E440" s="136"/>
      <c r="F440" s="137"/>
      <c r="G440" s="136"/>
      <c r="H440" s="135"/>
      <c r="I440" s="133"/>
    </row>
    <row r="441" spans="1:9" x14ac:dyDescent="0.25">
      <c r="A441" s="135"/>
      <c r="B441" s="136"/>
      <c r="C441" s="136"/>
      <c r="D441" s="136"/>
      <c r="E441" s="136"/>
      <c r="F441" s="137"/>
      <c r="G441" s="136"/>
      <c r="H441" s="135"/>
      <c r="I441" s="133"/>
    </row>
    <row r="442" spans="1:9" x14ac:dyDescent="0.25">
      <c r="A442" s="135"/>
      <c r="B442" s="136"/>
      <c r="C442" s="136"/>
      <c r="D442" s="136"/>
      <c r="E442" s="136"/>
      <c r="F442" s="137"/>
      <c r="G442" s="136"/>
      <c r="H442" s="135"/>
      <c r="I442" s="133"/>
    </row>
    <row r="443" spans="1:9" x14ac:dyDescent="0.25">
      <c r="A443" s="135"/>
      <c r="B443" s="136"/>
      <c r="C443" s="136"/>
      <c r="D443" s="136"/>
      <c r="E443" s="136"/>
      <c r="F443" s="137"/>
      <c r="G443" s="136"/>
      <c r="H443" s="135"/>
      <c r="I443" s="133"/>
    </row>
    <row r="444" spans="1:9" x14ac:dyDescent="0.25">
      <c r="A444" s="135"/>
      <c r="B444" s="136"/>
      <c r="C444" s="136"/>
      <c r="D444" s="136"/>
      <c r="E444" s="136"/>
      <c r="F444" s="137"/>
      <c r="G444" s="136"/>
      <c r="H444" s="135"/>
      <c r="I444" s="133"/>
    </row>
    <row r="445" spans="1:9" x14ac:dyDescent="0.25">
      <c r="A445" s="135"/>
      <c r="B445" s="136"/>
      <c r="C445" s="136"/>
      <c r="D445" s="136"/>
      <c r="E445" s="136"/>
      <c r="F445" s="137"/>
      <c r="G445" s="136"/>
      <c r="H445" s="135"/>
      <c r="I445" s="133"/>
    </row>
    <row r="446" spans="1:9" x14ac:dyDescent="0.25">
      <c r="A446" s="135"/>
      <c r="B446" s="136"/>
      <c r="C446" s="136"/>
      <c r="D446" s="136"/>
      <c r="E446" s="136"/>
      <c r="F446" s="137"/>
      <c r="G446" s="136"/>
      <c r="H446" s="135"/>
      <c r="I446" s="133"/>
    </row>
    <row r="447" spans="1:9" x14ac:dyDescent="0.25">
      <c r="A447" s="135"/>
      <c r="B447" s="136"/>
      <c r="C447" s="136"/>
      <c r="D447" s="136"/>
      <c r="E447" s="136"/>
      <c r="F447" s="137"/>
      <c r="G447" s="136"/>
      <c r="H447" s="135"/>
      <c r="I447" s="133"/>
    </row>
    <row r="448" spans="1:9" x14ac:dyDescent="0.25">
      <c r="A448" s="135"/>
      <c r="B448" s="136"/>
      <c r="C448" s="136"/>
      <c r="D448" s="136"/>
      <c r="E448" s="136"/>
      <c r="F448" s="137"/>
      <c r="G448" s="136"/>
      <c r="H448" s="135"/>
      <c r="I448" s="133"/>
    </row>
    <row r="449" spans="1:9" x14ac:dyDescent="0.25">
      <c r="A449" s="135"/>
      <c r="B449" s="136"/>
      <c r="C449" s="136"/>
      <c r="D449" s="136"/>
      <c r="E449" s="136"/>
      <c r="F449" s="137"/>
      <c r="G449" s="136"/>
      <c r="H449" s="135"/>
      <c r="I449" s="133"/>
    </row>
    <row r="450" spans="1:9" x14ac:dyDescent="0.25">
      <c r="A450" s="135"/>
      <c r="B450" s="136"/>
      <c r="C450" s="136"/>
      <c r="D450" s="136"/>
      <c r="E450" s="136"/>
      <c r="F450" s="137"/>
      <c r="G450" s="136"/>
      <c r="H450" s="135"/>
      <c r="I450" s="133"/>
    </row>
    <row r="451" spans="1:9" x14ac:dyDescent="0.25">
      <c r="A451" s="135"/>
      <c r="B451" s="136"/>
      <c r="C451" s="136"/>
      <c r="D451" s="136"/>
      <c r="E451" s="136"/>
      <c r="F451" s="137"/>
      <c r="G451" s="136"/>
      <c r="H451" s="135"/>
      <c r="I451" s="133"/>
    </row>
    <row r="452" spans="1:9" x14ac:dyDescent="0.25">
      <c r="A452" s="135"/>
      <c r="B452" s="136"/>
      <c r="C452" s="136"/>
      <c r="D452" s="136"/>
      <c r="E452" s="136"/>
      <c r="F452" s="137"/>
      <c r="G452" s="136"/>
      <c r="H452" s="135"/>
      <c r="I452" s="133"/>
    </row>
    <row r="453" spans="1:9" x14ac:dyDescent="0.25">
      <c r="A453" s="135"/>
      <c r="B453" s="136"/>
      <c r="C453" s="136"/>
      <c r="D453" s="136"/>
      <c r="E453" s="136"/>
      <c r="F453" s="137"/>
      <c r="G453" s="136"/>
      <c r="H453" s="135"/>
      <c r="I453" s="133"/>
    </row>
    <row r="454" spans="1:9" x14ac:dyDescent="0.25">
      <c r="A454" s="135"/>
      <c r="B454" s="136"/>
      <c r="C454" s="136"/>
      <c r="D454" s="136"/>
      <c r="E454" s="136"/>
      <c r="F454" s="137"/>
      <c r="G454" s="136"/>
      <c r="H454" s="135"/>
      <c r="I454" s="133"/>
    </row>
    <row r="455" spans="1:9" x14ac:dyDescent="0.25">
      <c r="A455" s="135"/>
      <c r="B455" s="136"/>
      <c r="C455" s="136"/>
      <c r="D455" s="136"/>
      <c r="E455" s="136"/>
      <c r="F455" s="137"/>
      <c r="G455" s="136"/>
      <c r="H455" s="135"/>
      <c r="I455" s="133"/>
    </row>
    <row r="456" spans="1:9" x14ac:dyDescent="0.25">
      <c r="A456" s="135"/>
      <c r="B456" s="136"/>
      <c r="C456" s="136"/>
      <c r="D456" s="136"/>
      <c r="E456" s="136"/>
      <c r="F456" s="137"/>
      <c r="G456" s="136"/>
      <c r="H456" s="135"/>
      <c r="I456" s="133"/>
    </row>
    <row r="457" spans="1:9" x14ac:dyDescent="0.25">
      <c r="A457" s="135"/>
      <c r="B457" s="136"/>
      <c r="C457" s="136"/>
      <c r="D457" s="136"/>
      <c r="E457" s="136"/>
      <c r="F457" s="137"/>
      <c r="G457" s="136"/>
      <c r="H457" s="135"/>
      <c r="I457" s="133"/>
    </row>
    <row r="458" spans="1:9" x14ac:dyDescent="0.25">
      <c r="A458" s="135"/>
      <c r="B458" s="136"/>
      <c r="C458" s="136"/>
      <c r="D458" s="136"/>
      <c r="E458" s="136"/>
      <c r="F458" s="137"/>
      <c r="G458" s="136"/>
      <c r="H458" s="135"/>
      <c r="I458" s="133"/>
    </row>
    <row r="459" spans="1:9" x14ac:dyDescent="0.25">
      <c r="A459" s="135"/>
      <c r="B459" s="136"/>
      <c r="C459" s="136"/>
      <c r="D459" s="136"/>
      <c r="E459" s="136"/>
      <c r="F459" s="137"/>
      <c r="G459" s="136"/>
      <c r="H459" s="135"/>
      <c r="I459" s="133"/>
    </row>
    <row r="460" spans="1:9" x14ac:dyDescent="0.25">
      <c r="A460" s="135"/>
      <c r="B460" s="136"/>
      <c r="C460" s="136"/>
      <c r="D460" s="136"/>
      <c r="E460" s="136"/>
      <c r="F460" s="137"/>
      <c r="G460" s="136"/>
      <c r="H460" s="135"/>
      <c r="I460" s="133"/>
    </row>
    <row r="461" spans="1:9" x14ac:dyDescent="0.25">
      <c r="A461" s="135"/>
      <c r="B461" s="136"/>
      <c r="C461" s="136"/>
      <c r="D461" s="136"/>
      <c r="E461" s="136"/>
      <c r="F461" s="137"/>
      <c r="G461" s="136"/>
      <c r="H461" s="135"/>
      <c r="I461" s="133"/>
    </row>
    <row r="462" spans="1:9" x14ac:dyDescent="0.25">
      <c r="A462" s="135"/>
      <c r="B462" s="136"/>
      <c r="C462" s="136"/>
      <c r="D462" s="136"/>
      <c r="E462" s="136"/>
      <c r="F462" s="137"/>
      <c r="G462" s="136"/>
      <c r="H462" s="135"/>
      <c r="I462" s="133"/>
    </row>
    <row r="463" spans="1:9" x14ac:dyDescent="0.25">
      <c r="A463" s="135"/>
      <c r="B463" s="136"/>
      <c r="C463" s="136"/>
      <c r="D463" s="136"/>
      <c r="E463" s="136"/>
      <c r="F463" s="137"/>
      <c r="G463" s="136"/>
      <c r="H463" s="135"/>
      <c r="I463" s="133"/>
    </row>
    <row r="464" spans="1:9" x14ac:dyDescent="0.25">
      <c r="A464" s="135"/>
      <c r="B464" s="136"/>
      <c r="C464" s="136"/>
      <c r="D464" s="136"/>
      <c r="E464" s="136"/>
      <c r="F464" s="137"/>
      <c r="G464" s="136"/>
      <c r="H464" s="135"/>
      <c r="I464" s="133"/>
    </row>
    <row r="465" spans="1:9" x14ac:dyDescent="0.25">
      <c r="A465" s="135"/>
      <c r="B465" s="136"/>
      <c r="C465" s="136"/>
      <c r="D465" s="136"/>
      <c r="E465" s="136"/>
      <c r="F465" s="137"/>
      <c r="G465" s="136"/>
      <c r="H465" s="135"/>
      <c r="I465" s="133"/>
    </row>
    <row r="466" spans="1:9" x14ac:dyDescent="0.25">
      <c r="A466" s="135"/>
      <c r="B466" s="136"/>
      <c r="C466" s="136"/>
      <c r="D466" s="136"/>
      <c r="E466" s="136"/>
      <c r="F466" s="137"/>
      <c r="G466" s="136"/>
      <c r="H466" s="135"/>
      <c r="I466" s="133"/>
    </row>
    <row r="467" spans="1:9" x14ac:dyDescent="0.25">
      <c r="A467" s="135"/>
      <c r="B467" s="136"/>
      <c r="C467" s="136"/>
      <c r="D467" s="136"/>
      <c r="E467" s="136"/>
      <c r="F467" s="137"/>
      <c r="G467" s="136"/>
      <c r="H467" s="135"/>
      <c r="I467" s="133"/>
    </row>
    <row r="468" spans="1:9" x14ac:dyDescent="0.25">
      <c r="A468" s="135"/>
      <c r="B468" s="136"/>
      <c r="C468" s="136"/>
      <c r="D468" s="136"/>
      <c r="E468" s="136"/>
      <c r="F468" s="137"/>
      <c r="G468" s="136"/>
      <c r="H468" s="135"/>
      <c r="I468" s="133"/>
    </row>
    <row r="469" spans="1:9" x14ac:dyDescent="0.25">
      <c r="A469" s="135"/>
      <c r="B469" s="136"/>
      <c r="C469" s="136"/>
      <c r="D469" s="136"/>
      <c r="E469" s="136"/>
      <c r="F469" s="137"/>
      <c r="G469" s="136"/>
      <c r="H469" s="135"/>
      <c r="I469" s="133"/>
    </row>
    <row r="470" spans="1:9" x14ac:dyDescent="0.25">
      <c r="A470" s="135"/>
      <c r="B470" s="136"/>
      <c r="C470" s="136"/>
      <c r="D470" s="136"/>
      <c r="E470" s="136"/>
      <c r="F470" s="137"/>
      <c r="G470" s="136"/>
      <c r="H470" s="135"/>
      <c r="I470" s="133"/>
    </row>
    <row r="471" spans="1:9" x14ac:dyDescent="0.25">
      <c r="A471" s="135"/>
      <c r="B471" s="136"/>
      <c r="C471" s="136"/>
      <c r="D471" s="136"/>
      <c r="E471" s="136"/>
      <c r="F471" s="137"/>
      <c r="G471" s="136"/>
      <c r="H471" s="135"/>
      <c r="I471" s="133"/>
    </row>
    <row r="472" spans="1:9" x14ac:dyDescent="0.25">
      <c r="A472" s="135"/>
      <c r="B472" s="136"/>
      <c r="C472" s="136"/>
      <c r="D472" s="136"/>
      <c r="E472" s="136"/>
      <c r="F472" s="137"/>
      <c r="G472" s="136"/>
      <c r="H472" s="135"/>
      <c r="I472" s="133"/>
    </row>
    <row r="473" spans="1:9" x14ac:dyDescent="0.25">
      <c r="A473" s="135"/>
      <c r="B473" s="136"/>
      <c r="C473" s="136"/>
      <c r="D473" s="136"/>
      <c r="E473" s="136"/>
      <c r="F473" s="137"/>
      <c r="G473" s="136"/>
      <c r="H473" s="135"/>
      <c r="I473" s="133"/>
    </row>
    <row r="474" spans="1:9" x14ac:dyDescent="0.25">
      <c r="A474" s="135"/>
      <c r="B474" s="136"/>
      <c r="C474" s="136"/>
      <c r="D474" s="136"/>
      <c r="E474" s="136"/>
      <c r="F474" s="137"/>
      <c r="G474" s="136"/>
      <c r="H474" s="135"/>
      <c r="I474" s="133"/>
    </row>
    <row r="475" spans="1:9" x14ac:dyDescent="0.25">
      <c r="A475" s="135"/>
      <c r="B475" s="136"/>
      <c r="C475" s="136"/>
      <c r="D475" s="136"/>
      <c r="E475" s="136"/>
      <c r="F475" s="137"/>
      <c r="G475" s="136"/>
      <c r="H475" s="135"/>
      <c r="I475" s="133"/>
    </row>
    <row r="476" spans="1:9" x14ac:dyDescent="0.25">
      <c r="A476" s="135"/>
      <c r="B476" s="136"/>
      <c r="C476" s="136"/>
      <c r="D476" s="136"/>
      <c r="E476" s="136"/>
      <c r="F476" s="137"/>
      <c r="G476" s="136"/>
      <c r="H476" s="135"/>
      <c r="I476" s="133"/>
    </row>
    <row r="477" spans="1:9" x14ac:dyDescent="0.25">
      <c r="A477" s="135"/>
      <c r="B477" s="136"/>
      <c r="C477" s="136"/>
      <c r="D477" s="136"/>
      <c r="E477" s="136"/>
      <c r="F477" s="137"/>
      <c r="G477" s="136"/>
      <c r="H477" s="135"/>
      <c r="I477" s="133"/>
    </row>
    <row r="478" spans="1:9" x14ac:dyDescent="0.25">
      <c r="A478" s="135"/>
      <c r="B478" s="136"/>
      <c r="C478" s="136"/>
      <c r="D478" s="136"/>
      <c r="E478" s="136"/>
      <c r="F478" s="137"/>
      <c r="G478" s="136"/>
      <c r="H478" s="135"/>
      <c r="I478" s="133"/>
    </row>
    <row r="479" spans="1:9" x14ac:dyDescent="0.25">
      <c r="A479" s="135"/>
      <c r="B479" s="136"/>
      <c r="C479" s="136"/>
      <c r="D479" s="136"/>
      <c r="E479" s="136"/>
      <c r="F479" s="137"/>
      <c r="G479" s="136"/>
      <c r="H479" s="135"/>
      <c r="I479" s="133"/>
    </row>
    <row r="480" spans="1:9" x14ac:dyDescent="0.25">
      <c r="A480" s="135"/>
      <c r="B480" s="136"/>
      <c r="C480" s="136"/>
      <c r="D480" s="136"/>
      <c r="E480" s="136"/>
      <c r="F480" s="137"/>
      <c r="G480" s="136"/>
      <c r="H480" s="135"/>
      <c r="I480" s="133"/>
    </row>
    <row r="481" spans="1:9" x14ac:dyDescent="0.25">
      <c r="A481" s="135"/>
      <c r="B481" s="136"/>
      <c r="C481" s="136"/>
      <c r="D481" s="136"/>
      <c r="E481" s="136"/>
      <c r="F481" s="137"/>
      <c r="G481" s="136"/>
      <c r="H481" s="135"/>
      <c r="I481" s="133"/>
    </row>
    <row r="482" spans="1:9" x14ac:dyDescent="0.25">
      <c r="A482" s="135"/>
      <c r="B482" s="136"/>
      <c r="C482" s="136"/>
      <c r="D482" s="136"/>
      <c r="E482" s="136"/>
      <c r="F482" s="137"/>
      <c r="G482" s="136"/>
      <c r="H482" s="135"/>
      <c r="I482" s="133"/>
    </row>
    <row r="483" spans="1:9" x14ac:dyDescent="0.25">
      <c r="A483" s="135"/>
      <c r="B483" s="136"/>
      <c r="C483" s="136"/>
      <c r="D483" s="136"/>
      <c r="E483" s="136"/>
      <c r="F483" s="137"/>
      <c r="G483" s="136"/>
      <c r="H483" s="135"/>
      <c r="I483" s="133"/>
    </row>
    <row r="484" spans="1:9" x14ac:dyDescent="0.25">
      <c r="A484" s="135"/>
      <c r="B484" s="136"/>
      <c r="C484" s="136"/>
      <c r="D484" s="136"/>
      <c r="E484" s="136"/>
      <c r="F484" s="137"/>
      <c r="G484" s="136"/>
      <c r="H484" s="135"/>
      <c r="I484" s="133"/>
    </row>
    <row r="485" spans="1:9" x14ac:dyDescent="0.25">
      <c r="A485" s="135"/>
      <c r="B485" s="136"/>
      <c r="C485" s="136"/>
      <c r="D485" s="136"/>
      <c r="E485" s="136"/>
      <c r="F485" s="137"/>
      <c r="G485" s="136"/>
      <c r="H485" s="135"/>
      <c r="I485" s="133"/>
    </row>
    <row r="486" spans="1:9" x14ac:dyDescent="0.25">
      <c r="A486" s="135"/>
      <c r="B486" s="136"/>
      <c r="C486" s="136"/>
      <c r="D486" s="136"/>
      <c r="E486" s="136"/>
      <c r="F486" s="137"/>
      <c r="G486" s="136"/>
      <c r="H486" s="135"/>
      <c r="I486" s="133"/>
    </row>
    <row r="487" spans="1:9" x14ac:dyDescent="0.25">
      <c r="A487" s="135"/>
      <c r="B487" s="136"/>
      <c r="C487" s="136"/>
      <c r="D487" s="136"/>
      <c r="E487" s="136"/>
      <c r="F487" s="137"/>
      <c r="G487" s="136"/>
      <c r="H487" s="135"/>
      <c r="I487" s="133"/>
    </row>
    <row r="488" spans="1:9" x14ac:dyDescent="0.25">
      <c r="A488" s="135"/>
      <c r="B488" s="136"/>
      <c r="C488" s="136"/>
      <c r="D488" s="136"/>
      <c r="E488" s="136"/>
      <c r="F488" s="137"/>
      <c r="G488" s="136"/>
      <c r="H488" s="135"/>
      <c r="I488" s="133"/>
    </row>
    <row r="489" spans="1:9" x14ac:dyDescent="0.25">
      <c r="A489" s="135"/>
      <c r="B489" s="136"/>
      <c r="C489" s="136"/>
      <c r="D489" s="136"/>
      <c r="E489" s="136"/>
      <c r="F489" s="137"/>
      <c r="G489" s="136"/>
      <c r="H489" s="135"/>
      <c r="I489" s="133"/>
    </row>
    <row r="490" spans="1:9" x14ac:dyDescent="0.25">
      <c r="A490" s="135"/>
      <c r="B490" s="136"/>
      <c r="C490" s="136"/>
      <c r="D490" s="136"/>
      <c r="E490" s="136"/>
      <c r="F490" s="137"/>
      <c r="G490" s="136"/>
      <c r="H490" s="135"/>
      <c r="I490" s="133"/>
    </row>
    <row r="491" spans="1:9" x14ac:dyDescent="0.25">
      <c r="A491" s="135"/>
      <c r="B491" s="136"/>
      <c r="C491" s="136"/>
      <c r="D491" s="136"/>
      <c r="E491" s="136"/>
      <c r="F491" s="137"/>
      <c r="G491" s="136"/>
      <c r="H491" s="135"/>
      <c r="I491" s="133"/>
    </row>
    <row r="492" spans="1:9" x14ac:dyDescent="0.25">
      <c r="A492" s="135"/>
      <c r="B492" s="136"/>
      <c r="C492" s="136"/>
      <c r="D492" s="136"/>
      <c r="E492" s="136"/>
      <c r="F492" s="137"/>
      <c r="G492" s="136"/>
      <c r="H492" s="135"/>
      <c r="I492" s="133"/>
    </row>
    <row r="493" spans="1:9" x14ac:dyDescent="0.25">
      <c r="A493" s="135"/>
      <c r="B493" s="136"/>
      <c r="C493" s="136"/>
      <c r="D493" s="136"/>
      <c r="E493" s="136"/>
      <c r="F493" s="137"/>
      <c r="G493" s="136"/>
      <c r="H493" s="135"/>
      <c r="I493" s="133"/>
    </row>
    <row r="494" spans="1:9" x14ac:dyDescent="0.25">
      <c r="A494" s="135"/>
      <c r="B494" s="136"/>
      <c r="C494" s="136"/>
      <c r="D494" s="136"/>
      <c r="E494" s="136"/>
      <c r="F494" s="137"/>
      <c r="G494" s="136"/>
      <c r="H494" s="135"/>
      <c r="I494" s="133"/>
    </row>
    <row r="495" spans="1:9" x14ac:dyDescent="0.25">
      <c r="A495" s="135"/>
      <c r="B495" s="136"/>
      <c r="C495" s="136"/>
      <c r="D495" s="136"/>
      <c r="E495" s="136"/>
      <c r="F495" s="137"/>
      <c r="G495" s="136"/>
      <c r="H495" s="135"/>
      <c r="I495" s="133"/>
    </row>
    <row r="496" spans="1:9" x14ac:dyDescent="0.25">
      <c r="A496" s="135"/>
      <c r="B496" s="136"/>
      <c r="C496" s="136"/>
      <c r="D496" s="136"/>
      <c r="E496" s="136"/>
      <c r="F496" s="137"/>
      <c r="G496" s="136"/>
      <c r="H496" s="135"/>
      <c r="I496" s="133"/>
    </row>
    <row r="497" spans="1:9" x14ac:dyDescent="0.25">
      <c r="A497" s="135"/>
      <c r="B497" s="136"/>
      <c r="C497" s="136"/>
      <c r="D497" s="136"/>
      <c r="E497" s="136"/>
      <c r="F497" s="137"/>
      <c r="G497" s="136"/>
      <c r="H497" s="135"/>
      <c r="I497" s="133"/>
    </row>
    <row r="498" spans="1:9" x14ac:dyDescent="0.25">
      <c r="A498" s="135"/>
      <c r="B498" s="136"/>
      <c r="C498" s="136"/>
      <c r="D498" s="136"/>
      <c r="E498" s="136"/>
      <c r="F498" s="137"/>
      <c r="G498" s="136"/>
      <c r="H498" s="135"/>
      <c r="I498" s="133"/>
    </row>
    <row r="499" spans="1:9" x14ac:dyDescent="0.25">
      <c r="A499" s="135"/>
      <c r="B499" s="136"/>
      <c r="C499" s="136"/>
      <c r="D499" s="136"/>
      <c r="E499" s="136"/>
      <c r="F499" s="137"/>
      <c r="G499" s="136"/>
      <c r="H499" s="135"/>
      <c r="I499" s="133"/>
    </row>
    <row r="500" spans="1:9" x14ac:dyDescent="0.25">
      <c r="A500" s="135"/>
      <c r="B500" s="136"/>
      <c r="C500" s="136"/>
      <c r="D500" s="136"/>
      <c r="E500" s="136"/>
      <c r="F500" s="137"/>
      <c r="G500" s="136"/>
      <c r="H500" s="135"/>
      <c r="I500" s="133"/>
    </row>
    <row r="501" spans="1:9" x14ac:dyDescent="0.25">
      <c r="A501" s="135"/>
      <c r="B501" s="136"/>
      <c r="C501" s="136"/>
      <c r="D501" s="136"/>
      <c r="E501" s="136"/>
      <c r="F501" s="137"/>
      <c r="G501" s="136"/>
      <c r="H501" s="135"/>
      <c r="I501" s="133"/>
    </row>
    <row r="502" spans="1:9" x14ac:dyDescent="0.25">
      <c r="A502" s="135"/>
      <c r="B502" s="136"/>
      <c r="C502" s="136"/>
      <c r="D502" s="136"/>
      <c r="E502" s="136"/>
      <c r="F502" s="137"/>
      <c r="G502" s="136"/>
      <c r="H502" s="135"/>
      <c r="I502" s="133"/>
    </row>
    <row r="503" spans="1:9" x14ac:dyDescent="0.25">
      <c r="A503" s="135"/>
      <c r="B503" s="136"/>
      <c r="C503" s="136"/>
      <c r="D503" s="136"/>
      <c r="E503" s="136"/>
      <c r="F503" s="137"/>
      <c r="G503" s="136"/>
      <c r="H503" s="135"/>
      <c r="I503" s="133"/>
    </row>
    <row r="504" spans="1:9" x14ac:dyDescent="0.25">
      <c r="A504" s="135"/>
      <c r="B504" s="136"/>
      <c r="C504" s="136"/>
      <c r="D504" s="136"/>
      <c r="E504" s="136"/>
      <c r="F504" s="137"/>
      <c r="G504" s="136"/>
      <c r="H504" s="135"/>
      <c r="I504" s="133"/>
    </row>
    <row r="505" spans="1:9" x14ac:dyDescent="0.25">
      <c r="A505" s="135"/>
      <c r="B505" s="136"/>
      <c r="C505" s="136"/>
      <c r="D505" s="136"/>
      <c r="E505" s="136"/>
      <c r="F505" s="137"/>
      <c r="G505" s="136"/>
      <c r="H505" s="135"/>
      <c r="I505" s="133"/>
    </row>
    <row r="506" spans="1:9" x14ac:dyDescent="0.25">
      <c r="A506" s="135"/>
      <c r="B506" s="136"/>
      <c r="C506" s="136"/>
      <c r="D506" s="136"/>
      <c r="E506" s="136"/>
      <c r="F506" s="137"/>
      <c r="G506" s="136"/>
      <c r="H506" s="135"/>
      <c r="I506" s="133"/>
    </row>
    <row r="507" spans="1:9" x14ac:dyDescent="0.25">
      <c r="A507" s="135"/>
      <c r="B507" s="136"/>
      <c r="C507" s="136"/>
      <c r="D507" s="136"/>
      <c r="E507" s="136"/>
      <c r="F507" s="137"/>
      <c r="G507" s="136"/>
      <c r="H507" s="135"/>
      <c r="I507" s="133"/>
    </row>
    <row r="508" spans="1:9" x14ac:dyDescent="0.25">
      <c r="A508" s="135"/>
      <c r="B508" s="136"/>
      <c r="C508" s="136"/>
      <c r="D508" s="136"/>
      <c r="E508" s="136"/>
      <c r="F508" s="137"/>
      <c r="G508" s="136"/>
      <c r="H508" s="135"/>
      <c r="I508" s="133"/>
    </row>
    <row r="509" spans="1:9" x14ac:dyDescent="0.25">
      <c r="A509" s="135"/>
      <c r="B509" s="136"/>
      <c r="C509" s="136"/>
      <c r="D509" s="136"/>
      <c r="E509" s="136"/>
      <c r="F509" s="137"/>
      <c r="G509" s="136"/>
      <c r="H509" s="135"/>
      <c r="I509" s="133"/>
    </row>
    <row r="510" spans="1:9" x14ac:dyDescent="0.25">
      <c r="A510" s="135"/>
      <c r="B510" s="136"/>
      <c r="C510" s="136"/>
      <c r="D510" s="136"/>
      <c r="E510" s="136"/>
      <c r="F510" s="137"/>
      <c r="G510" s="136"/>
      <c r="H510" s="135"/>
      <c r="I510" s="133"/>
    </row>
    <row r="511" spans="1:9" x14ac:dyDescent="0.25">
      <c r="A511" s="135"/>
      <c r="B511" s="136"/>
      <c r="C511" s="136"/>
      <c r="D511" s="136"/>
      <c r="E511" s="136"/>
      <c r="F511" s="137"/>
      <c r="G511" s="136"/>
      <c r="H511" s="135"/>
      <c r="I511" s="133"/>
    </row>
    <row r="512" spans="1:9" x14ac:dyDescent="0.25">
      <c r="A512" s="135"/>
      <c r="B512" s="136"/>
      <c r="C512" s="136"/>
      <c r="D512" s="136"/>
      <c r="E512" s="136"/>
      <c r="F512" s="137"/>
      <c r="G512" s="136"/>
      <c r="H512" s="135"/>
      <c r="I512" s="133"/>
    </row>
    <row r="513" spans="1:9" x14ac:dyDescent="0.25">
      <c r="A513" s="135"/>
      <c r="B513" s="136"/>
      <c r="C513" s="136"/>
      <c r="D513" s="136"/>
      <c r="E513" s="136"/>
      <c r="F513" s="137"/>
      <c r="G513" s="136"/>
      <c r="H513" s="135"/>
      <c r="I513" s="133"/>
    </row>
    <row r="514" spans="1:9" x14ac:dyDescent="0.25">
      <c r="A514" s="135"/>
      <c r="B514" s="136"/>
      <c r="C514" s="136"/>
      <c r="D514" s="136"/>
      <c r="E514" s="136"/>
      <c r="F514" s="137"/>
      <c r="G514" s="136"/>
      <c r="H514" s="135"/>
      <c r="I514" s="133"/>
    </row>
    <row r="515" spans="1:9" x14ac:dyDescent="0.25">
      <c r="A515" s="135"/>
      <c r="B515" s="136"/>
      <c r="C515" s="136"/>
      <c r="D515" s="136"/>
      <c r="E515" s="136"/>
      <c r="F515" s="137"/>
      <c r="G515" s="136"/>
      <c r="H515" s="135"/>
      <c r="I515" s="133"/>
    </row>
    <row r="516" spans="1:9" x14ac:dyDescent="0.25">
      <c r="A516" s="135"/>
      <c r="B516" s="136"/>
      <c r="C516" s="136"/>
      <c r="D516" s="136"/>
      <c r="E516" s="136"/>
      <c r="F516" s="137"/>
      <c r="G516" s="136"/>
      <c r="H516" s="135"/>
      <c r="I516" s="133"/>
    </row>
    <row r="517" spans="1:9" x14ac:dyDescent="0.25">
      <c r="A517" s="135"/>
      <c r="B517" s="136"/>
      <c r="C517" s="136"/>
      <c r="D517" s="136"/>
      <c r="E517" s="136"/>
      <c r="F517" s="137"/>
      <c r="G517" s="136"/>
      <c r="H517" s="135"/>
      <c r="I517" s="133"/>
    </row>
    <row r="518" spans="1:9" x14ac:dyDescent="0.25">
      <c r="A518" s="135"/>
      <c r="B518" s="136"/>
      <c r="C518" s="136"/>
      <c r="D518" s="136"/>
      <c r="E518" s="136"/>
      <c r="F518" s="137"/>
      <c r="G518" s="136"/>
      <c r="H518" s="135"/>
      <c r="I518" s="133"/>
    </row>
    <row r="519" spans="1:9" x14ac:dyDescent="0.25">
      <c r="A519" s="135"/>
      <c r="B519" s="136"/>
      <c r="C519" s="136"/>
      <c r="D519" s="136"/>
      <c r="E519" s="136"/>
      <c r="F519" s="137"/>
      <c r="G519" s="136"/>
      <c r="H519" s="135"/>
      <c r="I519" s="133"/>
    </row>
    <row r="520" spans="1:9" x14ac:dyDescent="0.25">
      <c r="A520" s="135"/>
      <c r="B520" s="136"/>
      <c r="C520" s="136"/>
      <c r="D520" s="136"/>
      <c r="E520" s="136"/>
      <c r="F520" s="137"/>
      <c r="G520" s="136"/>
      <c r="H520" s="135"/>
      <c r="I520" s="133"/>
    </row>
    <row r="521" spans="1:9" x14ac:dyDescent="0.25">
      <c r="A521" s="135"/>
      <c r="B521" s="136"/>
      <c r="C521" s="136"/>
      <c r="D521" s="136"/>
      <c r="E521" s="136"/>
      <c r="F521" s="137"/>
      <c r="G521" s="136"/>
      <c r="H521" s="135"/>
      <c r="I521" s="133"/>
    </row>
    <row r="522" spans="1:9" x14ac:dyDescent="0.25">
      <c r="A522" s="135"/>
      <c r="B522" s="136"/>
      <c r="C522" s="136"/>
      <c r="D522" s="136"/>
      <c r="E522" s="136"/>
      <c r="F522" s="137"/>
      <c r="G522" s="136"/>
      <c r="H522" s="135"/>
      <c r="I522" s="133"/>
    </row>
    <row r="523" spans="1:9" x14ac:dyDescent="0.25">
      <c r="A523" s="135"/>
      <c r="B523" s="136"/>
      <c r="C523" s="136"/>
      <c r="D523" s="136"/>
      <c r="E523" s="136"/>
      <c r="F523" s="137"/>
      <c r="G523" s="136"/>
      <c r="H523" s="135"/>
      <c r="I523" s="133"/>
    </row>
    <row r="524" spans="1:9" x14ac:dyDescent="0.25">
      <c r="A524" s="135"/>
      <c r="B524" s="136"/>
      <c r="C524" s="136"/>
      <c r="D524" s="136"/>
      <c r="E524" s="136"/>
      <c r="F524" s="137"/>
      <c r="G524" s="136"/>
      <c r="H524" s="135"/>
      <c r="I524" s="133"/>
    </row>
    <row r="525" spans="1:9" x14ac:dyDescent="0.25">
      <c r="A525" s="135"/>
      <c r="B525" s="136"/>
      <c r="C525" s="136"/>
      <c r="D525" s="136"/>
      <c r="E525" s="136"/>
      <c r="F525" s="137"/>
      <c r="G525" s="136"/>
      <c r="H525" s="135"/>
      <c r="I525" s="133"/>
    </row>
    <row r="526" spans="1:9" x14ac:dyDescent="0.25">
      <c r="A526" s="135"/>
      <c r="B526" s="136"/>
      <c r="C526" s="136"/>
      <c r="D526" s="136"/>
      <c r="E526" s="136"/>
      <c r="F526" s="137"/>
      <c r="G526" s="136"/>
      <c r="H526" s="135"/>
      <c r="I526" s="133"/>
    </row>
    <row r="527" spans="1:9" x14ac:dyDescent="0.25">
      <c r="A527" s="135"/>
      <c r="B527" s="136"/>
      <c r="C527" s="136"/>
      <c r="D527" s="136"/>
      <c r="E527" s="136"/>
      <c r="F527" s="137"/>
      <c r="G527" s="136"/>
      <c r="H527" s="135"/>
      <c r="I527" s="133"/>
    </row>
    <row r="528" spans="1:9" x14ac:dyDescent="0.25">
      <c r="A528" s="135"/>
      <c r="B528" s="136"/>
      <c r="C528" s="136"/>
      <c r="D528" s="136"/>
      <c r="E528" s="136"/>
      <c r="F528" s="137"/>
      <c r="G528" s="136"/>
      <c r="H528" s="135"/>
      <c r="I528" s="133"/>
    </row>
    <row r="529" spans="1:9" x14ac:dyDescent="0.25">
      <c r="A529" s="135"/>
      <c r="B529" s="136"/>
      <c r="C529" s="136"/>
      <c r="D529" s="136"/>
      <c r="E529" s="136"/>
      <c r="F529" s="137"/>
      <c r="G529" s="136"/>
      <c r="H529" s="135"/>
      <c r="I529" s="133"/>
    </row>
    <row r="530" spans="1:9" x14ac:dyDescent="0.25">
      <c r="A530" s="135"/>
      <c r="B530" s="136"/>
      <c r="C530" s="136"/>
      <c r="D530" s="136"/>
      <c r="E530" s="136"/>
      <c r="F530" s="137"/>
      <c r="G530" s="136"/>
      <c r="H530" s="135"/>
      <c r="I530" s="133"/>
    </row>
    <row r="531" spans="1:9" x14ac:dyDescent="0.25">
      <c r="A531" s="135"/>
      <c r="B531" s="136"/>
      <c r="C531" s="136"/>
      <c r="D531" s="136"/>
      <c r="E531" s="136"/>
      <c r="F531" s="137"/>
      <c r="G531" s="136"/>
      <c r="H531" s="135"/>
      <c r="I531" s="133"/>
    </row>
    <row r="532" spans="1:9" x14ac:dyDescent="0.25">
      <c r="A532" s="135"/>
      <c r="B532" s="136"/>
      <c r="C532" s="136"/>
      <c r="D532" s="136"/>
      <c r="E532" s="136"/>
      <c r="F532" s="137"/>
      <c r="G532" s="136"/>
      <c r="H532" s="135"/>
      <c r="I532" s="133"/>
    </row>
    <row r="533" spans="1:9" x14ac:dyDescent="0.25">
      <c r="A533" s="135"/>
      <c r="B533" s="136"/>
      <c r="C533" s="136"/>
      <c r="D533" s="136"/>
      <c r="E533" s="136"/>
      <c r="F533" s="137"/>
      <c r="G533" s="136"/>
      <c r="H533" s="135"/>
      <c r="I533" s="133"/>
    </row>
    <row r="534" spans="1:9" x14ac:dyDescent="0.25">
      <c r="A534" s="135"/>
      <c r="B534" s="136"/>
      <c r="C534" s="136"/>
      <c r="D534" s="136"/>
      <c r="E534" s="136"/>
      <c r="F534" s="137"/>
      <c r="G534" s="136"/>
      <c r="H534" s="135"/>
      <c r="I534" s="133"/>
    </row>
    <row r="535" spans="1:9" x14ac:dyDescent="0.25">
      <c r="A535" s="135"/>
      <c r="B535" s="136"/>
      <c r="C535" s="136"/>
      <c r="D535" s="136"/>
      <c r="E535" s="136"/>
      <c r="F535" s="137"/>
      <c r="G535" s="136"/>
      <c r="H535" s="135"/>
      <c r="I535" s="133"/>
    </row>
    <row r="536" spans="1:9" x14ac:dyDescent="0.25">
      <c r="A536" s="135"/>
      <c r="B536" s="136"/>
      <c r="C536" s="136"/>
      <c r="D536" s="136"/>
      <c r="E536" s="136"/>
      <c r="F536" s="137"/>
      <c r="G536" s="136"/>
      <c r="H536" s="135"/>
      <c r="I536" s="133"/>
    </row>
    <row r="537" spans="1:9" x14ac:dyDescent="0.25">
      <c r="A537" s="135"/>
      <c r="B537" s="136"/>
      <c r="C537" s="136"/>
      <c r="D537" s="136"/>
      <c r="E537" s="136"/>
      <c r="F537" s="137"/>
      <c r="G537" s="136"/>
      <c r="H537" s="135"/>
      <c r="I537" s="133"/>
    </row>
    <row r="538" spans="1:9" x14ac:dyDescent="0.25">
      <c r="A538" s="135"/>
      <c r="B538" s="136"/>
      <c r="C538" s="136"/>
      <c r="D538" s="136"/>
      <c r="E538" s="136"/>
      <c r="F538" s="137"/>
      <c r="G538" s="136"/>
      <c r="H538" s="135"/>
      <c r="I538" s="133"/>
    </row>
    <row r="539" spans="1:9" x14ac:dyDescent="0.25">
      <c r="A539" s="135"/>
      <c r="B539" s="136"/>
      <c r="C539" s="136"/>
      <c r="D539" s="136"/>
      <c r="E539" s="136"/>
      <c r="F539" s="137"/>
      <c r="G539" s="136"/>
      <c r="H539" s="135"/>
      <c r="I539" s="133"/>
    </row>
    <row r="540" spans="1:9" x14ac:dyDescent="0.25">
      <c r="A540" s="135"/>
      <c r="B540" s="136"/>
      <c r="C540" s="136"/>
      <c r="D540" s="136"/>
      <c r="E540" s="136"/>
      <c r="F540" s="137"/>
      <c r="G540" s="136"/>
      <c r="H540" s="135"/>
      <c r="I540" s="133"/>
    </row>
    <row r="541" spans="1:9" x14ac:dyDescent="0.25">
      <c r="A541" s="135"/>
      <c r="B541" s="136"/>
      <c r="C541" s="136"/>
      <c r="D541" s="136"/>
      <c r="E541" s="136"/>
      <c r="F541" s="137"/>
      <c r="G541" s="136"/>
      <c r="H541" s="135"/>
      <c r="I541" s="133"/>
    </row>
    <row r="542" spans="1:9" x14ac:dyDescent="0.25">
      <c r="A542" s="135"/>
      <c r="B542" s="136"/>
      <c r="C542" s="136"/>
      <c r="D542" s="136"/>
      <c r="E542" s="136"/>
      <c r="F542" s="137"/>
      <c r="G542" s="136"/>
      <c r="H542" s="135"/>
      <c r="I542" s="133"/>
    </row>
    <row r="543" spans="1:9" x14ac:dyDescent="0.25">
      <c r="A543" s="135"/>
      <c r="B543" s="136"/>
      <c r="C543" s="136"/>
      <c r="D543" s="136"/>
      <c r="E543" s="136"/>
      <c r="F543" s="137"/>
      <c r="G543" s="136"/>
      <c r="H543" s="135"/>
      <c r="I543" s="133"/>
    </row>
    <row r="544" spans="1:9" x14ac:dyDescent="0.25">
      <c r="A544" s="135"/>
      <c r="B544" s="136"/>
      <c r="C544" s="136"/>
      <c r="D544" s="136"/>
      <c r="E544" s="136"/>
      <c r="F544" s="137"/>
      <c r="G544" s="136"/>
      <c r="H544" s="135"/>
      <c r="I544" s="133"/>
    </row>
    <row r="545" spans="1:9" x14ac:dyDescent="0.25">
      <c r="A545" s="135"/>
      <c r="B545" s="136"/>
      <c r="C545" s="136"/>
      <c r="D545" s="136"/>
      <c r="E545" s="136"/>
      <c r="F545" s="137"/>
      <c r="G545" s="136"/>
      <c r="H545" s="135"/>
      <c r="I545" s="133"/>
    </row>
    <row r="546" spans="1:9" x14ac:dyDescent="0.25">
      <c r="A546" s="135"/>
      <c r="B546" s="136"/>
      <c r="C546" s="136"/>
      <c r="D546" s="136"/>
      <c r="E546" s="136"/>
      <c r="F546" s="137"/>
      <c r="G546" s="136"/>
      <c r="H546" s="135"/>
      <c r="I546" s="133"/>
    </row>
    <row r="547" spans="1:9" x14ac:dyDescent="0.25">
      <c r="A547" s="135"/>
      <c r="B547" s="136"/>
      <c r="C547" s="136"/>
      <c r="D547" s="136"/>
      <c r="E547" s="136"/>
      <c r="F547" s="137"/>
      <c r="G547" s="136"/>
      <c r="H547" s="135"/>
      <c r="I547" s="133"/>
    </row>
    <row r="548" spans="1:9" x14ac:dyDescent="0.25">
      <c r="A548" s="135"/>
      <c r="B548" s="136"/>
      <c r="C548" s="136"/>
      <c r="D548" s="136"/>
      <c r="E548" s="136"/>
      <c r="F548" s="137"/>
      <c r="G548" s="136"/>
      <c r="H548" s="135"/>
      <c r="I548" s="133"/>
    </row>
    <row r="549" spans="1:9" x14ac:dyDescent="0.25">
      <c r="A549" s="135"/>
      <c r="B549" s="136"/>
      <c r="C549" s="136"/>
      <c r="D549" s="136"/>
      <c r="E549" s="136"/>
      <c r="F549" s="137"/>
      <c r="G549" s="136"/>
      <c r="H549" s="135"/>
      <c r="I549" s="133"/>
    </row>
    <row r="550" spans="1:9" x14ac:dyDescent="0.25">
      <c r="A550" s="135"/>
      <c r="B550" s="136"/>
      <c r="C550" s="136"/>
      <c r="D550" s="136"/>
      <c r="E550" s="136"/>
      <c r="F550" s="137"/>
      <c r="G550" s="136"/>
      <c r="H550" s="135"/>
      <c r="I550" s="133"/>
    </row>
    <row r="551" spans="1:9" x14ac:dyDescent="0.25">
      <c r="A551" s="135"/>
      <c r="B551" s="136"/>
      <c r="C551" s="136"/>
      <c r="D551" s="136"/>
      <c r="E551" s="136"/>
      <c r="F551" s="137"/>
      <c r="G551" s="136"/>
      <c r="H551" s="135"/>
      <c r="I551" s="133"/>
    </row>
    <row r="552" spans="1:9" x14ac:dyDescent="0.25">
      <c r="A552" s="135"/>
      <c r="B552" s="136"/>
      <c r="C552" s="136"/>
      <c r="D552" s="136"/>
      <c r="E552" s="136"/>
      <c r="F552" s="137"/>
      <c r="G552" s="136"/>
      <c r="H552" s="135"/>
      <c r="I552" s="133"/>
    </row>
    <row r="553" spans="1:9" x14ac:dyDescent="0.25">
      <c r="A553" s="135"/>
      <c r="B553" s="136"/>
      <c r="C553" s="136"/>
      <c r="D553" s="136"/>
      <c r="E553" s="136"/>
      <c r="F553" s="137"/>
      <c r="G553" s="136"/>
      <c r="H553" s="135"/>
      <c r="I553" s="133"/>
    </row>
    <row r="554" spans="1:9" x14ac:dyDescent="0.25">
      <c r="A554" s="135"/>
      <c r="B554" s="136"/>
      <c r="C554" s="136"/>
      <c r="D554" s="136"/>
      <c r="E554" s="136"/>
      <c r="F554" s="137"/>
      <c r="G554" s="136"/>
      <c r="H554" s="135"/>
      <c r="I554" s="133"/>
    </row>
    <row r="555" spans="1:9" x14ac:dyDescent="0.25">
      <c r="A555" s="135"/>
      <c r="B555" s="136"/>
      <c r="C555" s="136"/>
      <c r="D555" s="136"/>
      <c r="E555" s="136"/>
      <c r="F555" s="137"/>
      <c r="G555" s="136"/>
      <c r="H555" s="135"/>
      <c r="I555" s="133"/>
    </row>
    <row r="556" spans="1:9" x14ac:dyDescent="0.25">
      <c r="A556" s="135"/>
      <c r="B556" s="136"/>
      <c r="C556" s="136"/>
      <c r="D556" s="136"/>
      <c r="E556" s="136"/>
      <c r="F556" s="137"/>
      <c r="G556" s="136"/>
      <c r="H556" s="135"/>
      <c r="I556" s="133"/>
    </row>
    <row r="557" spans="1:9" x14ac:dyDescent="0.25">
      <c r="A557" s="135"/>
      <c r="B557" s="136"/>
      <c r="C557" s="136"/>
      <c r="D557" s="136"/>
      <c r="E557" s="136"/>
      <c r="F557" s="137"/>
      <c r="G557" s="136"/>
      <c r="H557" s="135"/>
      <c r="I557" s="133"/>
    </row>
    <row r="558" spans="1:9" x14ac:dyDescent="0.25">
      <c r="A558" s="135"/>
      <c r="B558" s="136"/>
      <c r="C558" s="136"/>
      <c r="D558" s="136"/>
      <c r="E558" s="136"/>
      <c r="F558" s="137"/>
      <c r="G558" s="136"/>
      <c r="H558" s="135"/>
      <c r="I558" s="133"/>
    </row>
    <row r="559" spans="1:9" x14ac:dyDescent="0.25">
      <c r="A559" s="135"/>
      <c r="B559" s="136"/>
      <c r="C559" s="136"/>
      <c r="D559" s="136"/>
      <c r="E559" s="136"/>
      <c r="F559" s="137"/>
      <c r="G559" s="136"/>
      <c r="H559" s="135"/>
      <c r="I559" s="133"/>
    </row>
    <row r="560" spans="1:9" x14ac:dyDescent="0.25">
      <c r="A560" s="135"/>
      <c r="B560" s="136"/>
      <c r="C560" s="136"/>
      <c r="D560" s="136"/>
      <c r="E560" s="136"/>
      <c r="F560" s="137"/>
      <c r="G560" s="136"/>
      <c r="H560" s="135"/>
      <c r="I560" s="133"/>
    </row>
    <row r="561" spans="1:9" x14ac:dyDescent="0.25">
      <c r="A561" s="135"/>
      <c r="B561" s="136"/>
      <c r="C561" s="136"/>
      <c r="D561" s="136"/>
      <c r="E561" s="136"/>
      <c r="F561" s="137"/>
      <c r="G561" s="136"/>
      <c r="H561" s="135"/>
      <c r="I561" s="133"/>
    </row>
    <row r="562" spans="1:9" x14ac:dyDescent="0.25">
      <c r="A562" s="135"/>
      <c r="B562" s="136"/>
      <c r="C562" s="136"/>
      <c r="D562" s="136"/>
      <c r="E562" s="136"/>
      <c r="F562" s="137"/>
      <c r="G562" s="136"/>
      <c r="H562" s="135"/>
      <c r="I562" s="133"/>
    </row>
    <row r="563" spans="1:9" x14ac:dyDescent="0.25">
      <c r="A563" s="135"/>
      <c r="B563" s="136"/>
      <c r="C563" s="136"/>
      <c r="D563" s="136"/>
      <c r="E563" s="136"/>
      <c r="F563" s="137"/>
      <c r="G563" s="136"/>
      <c r="H563" s="135"/>
      <c r="I563" s="133"/>
    </row>
    <row r="564" spans="1:9" x14ac:dyDescent="0.25">
      <c r="A564" s="135"/>
      <c r="B564" s="136"/>
      <c r="C564" s="136"/>
      <c r="D564" s="136"/>
      <c r="E564" s="136"/>
      <c r="F564" s="137"/>
      <c r="G564" s="136"/>
      <c r="H564" s="135"/>
      <c r="I564" s="133"/>
    </row>
    <row r="565" spans="1:9" x14ac:dyDescent="0.25">
      <c r="A565" s="135"/>
      <c r="B565" s="136"/>
      <c r="C565" s="136"/>
      <c r="D565" s="136"/>
      <c r="E565" s="136"/>
      <c r="F565" s="137"/>
      <c r="G565" s="136"/>
      <c r="H565" s="135"/>
      <c r="I565" s="133"/>
    </row>
    <row r="566" spans="1:9" x14ac:dyDescent="0.25">
      <c r="A566" s="135"/>
      <c r="B566" s="136"/>
      <c r="C566" s="136"/>
      <c r="D566" s="136"/>
      <c r="E566" s="136"/>
      <c r="F566" s="137"/>
      <c r="G566" s="136"/>
      <c r="H566" s="135"/>
      <c r="I566" s="133"/>
    </row>
    <row r="567" spans="1:9" x14ac:dyDescent="0.25">
      <c r="A567" s="135"/>
      <c r="B567" s="136"/>
      <c r="C567" s="136"/>
      <c r="D567" s="136"/>
      <c r="E567" s="136"/>
      <c r="F567" s="137"/>
      <c r="G567" s="136"/>
      <c r="H567" s="135"/>
      <c r="I567" s="133"/>
    </row>
    <row r="568" spans="1:9" x14ac:dyDescent="0.25">
      <c r="A568" s="135"/>
      <c r="B568" s="136"/>
      <c r="C568" s="136"/>
      <c r="D568" s="136"/>
      <c r="E568" s="136"/>
      <c r="F568" s="137"/>
      <c r="G568" s="136"/>
      <c r="H568" s="135"/>
      <c r="I568" s="133"/>
    </row>
    <row r="569" spans="1:9" x14ac:dyDescent="0.25">
      <c r="A569" s="135"/>
      <c r="B569" s="136"/>
      <c r="C569" s="136"/>
      <c r="D569" s="136"/>
      <c r="E569" s="136"/>
      <c r="F569" s="137"/>
      <c r="G569" s="136"/>
      <c r="H569" s="135"/>
      <c r="I569" s="133"/>
    </row>
    <row r="570" spans="1:9" x14ac:dyDescent="0.25">
      <c r="A570" s="135"/>
      <c r="B570" s="136"/>
      <c r="C570" s="136"/>
      <c r="D570" s="136"/>
      <c r="E570" s="136"/>
      <c r="F570" s="137"/>
      <c r="G570" s="136"/>
      <c r="H570" s="135"/>
      <c r="I570" s="133"/>
    </row>
    <row r="571" spans="1:9" x14ac:dyDescent="0.25">
      <c r="A571" s="135"/>
      <c r="B571" s="136"/>
      <c r="C571" s="136"/>
      <c r="D571" s="136"/>
      <c r="E571" s="136"/>
      <c r="F571" s="137"/>
      <c r="G571" s="136"/>
      <c r="H571" s="135"/>
      <c r="I571" s="133"/>
    </row>
    <row r="572" spans="1:9" x14ac:dyDescent="0.25">
      <c r="A572" s="135"/>
      <c r="B572" s="136"/>
      <c r="C572" s="136"/>
      <c r="D572" s="136"/>
      <c r="E572" s="136"/>
      <c r="F572" s="137"/>
      <c r="G572" s="136"/>
      <c r="H572" s="135"/>
      <c r="I572" s="133"/>
    </row>
    <row r="573" spans="1:9" x14ac:dyDescent="0.25">
      <c r="A573" s="135"/>
      <c r="B573" s="136"/>
      <c r="C573" s="136"/>
      <c r="D573" s="136"/>
      <c r="E573" s="136"/>
      <c r="F573" s="137"/>
      <c r="G573" s="136"/>
      <c r="H573" s="135"/>
      <c r="I573" s="133"/>
    </row>
    <row r="574" spans="1:9" x14ac:dyDescent="0.25">
      <c r="A574" s="135"/>
      <c r="B574" s="136"/>
      <c r="C574" s="136"/>
      <c r="D574" s="136"/>
      <c r="E574" s="136"/>
      <c r="F574" s="137"/>
      <c r="G574" s="136"/>
      <c r="H574" s="135"/>
      <c r="I574" s="133"/>
    </row>
    <row r="575" spans="1:9" x14ac:dyDescent="0.25">
      <c r="A575" s="135"/>
      <c r="B575" s="136"/>
      <c r="C575" s="136"/>
      <c r="D575" s="136"/>
      <c r="E575" s="136"/>
      <c r="F575" s="137"/>
      <c r="G575" s="136"/>
      <c r="H575" s="135"/>
      <c r="I575" s="133"/>
    </row>
    <row r="576" spans="1:9" x14ac:dyDescent="0.25">
      <c r="A576" s="135"/>
      <c r="B576" s="136"/>
      <c r="C576" s="136"/>
      <c r="D576" s="136"/>
      <c r="E576" s="136"/>
      <c r="F576" s="137"/>
      <c r="G576" s="136"/>
      <c r="H576" s="135"/>
      <c r="I576" s="133"/>
    </row>
    <row r="577" spans="1:9" x14ac:dyDescent="0.25">
      <c r="A577" s="135"/>
      <c r="B577" s="136"/>
      <c r="C577" s="136"/>
      <c r="D577" s="136"/>
      <c r="E577" s="136"/>
      <c r="F577" s="137"/>
      <c r="G577" s="136"/>
      <c r="H577" s="135"/>
      <c r="I577" s="133"/>
    </row>
    <row r="578" spans="1:9" x14ac:dyDescent="0.25">
      <c r="A578" s="135"/>
      <c r="B578" s="136"/>
      <c r="C578" s="136"/>
      <c r="D578" s="136"/>
      <c r="E578" s="136"/>
      <c r="F578" s="137"/>
      <c r="G578" s="136"/>
      <c r="H578" s="135"/>
      <c r="I578" s="133"/>
    </row>
    <row r="579" spans="1:9" x14ac:dyDescent="0.25">
      <c r="A579" s="135"/>
      <c r="B579" s="136"/>
      <c r="C579" s="136"/>
      <c r="D579" s="136"/>
      <c r="E579" s="136"/>
      <c r="F579" s="137"/>
      <c r="G579" s="136"/>
      <c r="H579" s="135"/>
      <c r="I579" s="133"/>
    </row>
    <row r="580" spans="1:9" x14ac:dyDescent="0.25">
      <c r="A580" s="135"/>
      <c r="B580" s="136"/>
      <c r="C580" s="136"/>
      <c r="D580" s="136"/>
      <c r="E580" s="136"/>
      <c r="F580" s="137"/>
      <c r="G580" s="136"/>
      <c r="H580" s="135"/>
      <c r="I580" s="133"/>
    </row>
    <row r="581" spans="1:9" x14ac:dyDescent="0.25">
      <c r="A581" s="135"/>
      <c r="B581" s="136"/>
      <c r="C581" s="136"/>
      <c r="D581" s="136"/>
      <c r="E581" s="136"/>
      <c r="F581" s="137"/>
      <c r="G581" s="136"/>
      <c r="H581" s="135"/>
      <c r="I581" s="133"/>
    </row>
    <row r="582" spans="1:9" x14ac:dyDescent="0.25">
      <c r="A582" s="135"/>
      <c r="B582" s="136"/>
      <c r="C582" s="136"/>
      <c r="D582" s="136"/>
      <c r="E582" s="136"/>
      <c r="F582" s="137"/>
      <c r="G582" s="136"/>
      <c r="H582" s="135"/>
      <c r="I582" s="133"/>
    </row>
    <row r="583" spans="1:9" x14ac:dyDescent="0.25">
      <c r="A583" s="135"/>
      <c r="B583" s="136"/>
      <c r="C583" s="136"/>
      <c r="D583" s="136"/>
      <c r="E583" s="136"/>
      <c r="F583" s="137"/>
      <c r="G583" s="136"/>
      <c r="H583" s="135"/>
      <c r="I583" s="133"/>
    </row>
    <row r="584" spans="1:9" x14ac:dyDescent="0.25">
      <c r="A584" s="135"/>
      <c r="B584" s="136"/>
      <c r="C584" s="136"/>
      <c r="D584" s="136"/>
      <c r="E584" s="136"/>
      <c r="F584" s="137"/>
      <c r="G584" s="136"/>
      <c r="H584" s="135"/>
      <c r="I584" s="133"/>
    </row>
    <row r="585" spans="1:9" x14ac:dyDescent="0.25">
      <c r="A585" s="135"/>
      <c r="B585" s="136"/>
      <c r="C585" s="136"/>
      <c r="D585" s="136"/>
      <c r="E585" s="136"/>
      <c r="F585" s="137"/>
      <c r="G585" s="136"/>
      <c r="H585" s="135"/>
      <c r="I585" s="133"/>
    </row>
    <row r="586" spans="1:9" x14ac:dyDescent="0.25">
      <c r="A586" s="135"/>
      <c r="B586" s="136"/>
      <c r="C586" s="136"/>
      <c r="D586" s="136"/>
      <c r="E586" s="136"/>
      <c r="F586" s="137"/>
      <c r="G586" s="136"/>
      <c r="H586" s="135"/>
      <c r="I586" s="133"/>
    </row>
    <row r="587" spans="1:9" x14ac:dyDescent="0.25">
      <c r="A587" s="135"/>
      <c r="B587" s="136"/>
      <c r="C587" s="136"/>
      <c r="D587" s="136"/>
      <c r="E587" s="136"/>
      <c r="F587" s="137"/>
      <c r="G587" s="136"/>
      <c r="H587" s="135"/>
      <c r="I587" s="133"/>
    </row>
    <row r="588" spans="1:9" x14ac:dyDescent="0.25">
      <c r="A588" s="135"/>
      <c r="B588" s="136"/>
      <c r="C588" s="136"/>
      <c r="D588" s="136"/>
      <c r="E588" s="136"/>
      <c r="F588" s="137"/>
      <c r="G588" s="136"/>
      <c r="H588" s="135"/>
      <c r="I588" s="133"/>
    </row>
    <row r="589" spans="1:9" x14ac:dyDescent="0.25">
      <c r="A589" s="135"/>
      <c r="B589" s="136"/>
      <c r="C589" s="136"/>
      <c r="D589" s="136"/>
      <c r="E589" s="136"/>
      <c r="F589" s="137"/>
      <c r="G589" s="136"/>
      <c r="H589" s="135"/>
      <c r="I589" s="133"/>
    </row>
    <row r="590" spans="1:9" x14ac:dyDescent="0.25">
      <c r="A590" s="135"/>
      <c r="B590" s="136"/>
      <c r="C590" s="136"/>
      <c r="D590" s="136"/>
      <c r="E590" s="136"/>
      <c r="F590" s="137"/>
      <c r="G590" s="136"/>
      <c r="H590" s="135"/>
      <c r="I590" s="133"/>
    </row>
    <row r="591" spans="1:9" x14ac:dyDescent="0.25">
      <c r="A591" s="135"/>
      <c r="B591" s="136"/>
      <c r="C591" s="136"/>
      <c r="D591" s="136"/>
      <c r="E591" s="136"/>
      <c r="F591" s="137"/>
      <c r="G591" s="136"/>
      <c r="H591" s="135"/>
      <c r="I591" s="133"/>
    </row>
    <row r="592" spans="1:9" x14ac:dyDescent="0.25">
      <c r="A592" s="135"/>
      <c r="B592" s="136"/>
      <c r="C592" s="136"/>
      <c r="D592" s="136"/>
      <c r="E592" s="136"/>
      <c r="F592" s="137"/>
      <c r="G592" s="136"/>
      <c r="H592" s="135"/>
      <c r="I592" s="133"/>
    </row>
    <row r="593" spans="1:9" x14ac:dyDescent="0.25">
      <c r="A593" s="135"/>
      <c r="B593" s="136"/>
      <c r="C593" s="136"/>
      <c r="D593" s="136"/>
      <c r="E593" s="136"/>
      <c r="F593" s="137"/>
      <c r="G593" s="136"/>
      <c r="H593" s="135"/>
      <c r="I593" s="133"/>
    </row>
    <row r="594" spans="1:9" x14ac:dyDescent="0.25">
      <c r="A594" s="135"/>
      <c r="B594" s="136"/>
      <c r="C594" s="136"/>
      <c r="D594" s="136"/>
      <c r="E594" s="136"/>
      <c r="F594" s="137"/>
      <c r="G594" s="136"/>
      <c r="H594" s="135"/>
      <c r="I594" s="133"/>
    </row>
    <row r="595" spans="1:9" x14ac:dyDescent="0.25">
      <c r="A595" s="135"/>
      <c r="B595" s="136"/>
      <c r="C595" s="136"/>
      <c r="D595" s="136"/>
      <c r="E595" s="136"/>
      <c r="F595" s="137"/>
      <c r="G595" s="136"/>
      <c r="H595" s="135"/>
      <c r="I595" s="133"/>
    </row>
    <row r="596" spans="1:9" x14ac:dyDescent="0.25">
      <c r="A596" s="135"/>
      <c r="B596" s="136"/>
      <c r="C596" s="136"/>
      <c r="D596" s="136"/>
      <c r="E596" s="136"/>
      <c r="F596" s="137"/>
      <c r="G596" s="136"/>
      <c r="H596" s="135"/>
      <c r="I596" s="133"/>
    </row>
    <row r="597" spans="1:9" x14ac:dyDescent="0.25">
      <c r="A597" s="135"/>
      <c r="B597" s="136"/>
      <c r="C597" s="136"/>
      <c r="D597" s="136"/>
      <c r="E597" s="136"/>
      <c r="F597" s="137"/>
      <c r="G597" s="136"/>
      <c r="H597" s="135"/>
      <c r="I597" s="133"/>
    </row>
    <row r="598" spans="1:9" x14ac:dyDescent="0.25">
      <c r="A598" s="135"/>
      <c r="B598" s="136"/>
      <c r="C598" s="136"/>
      <c r="D598" s="136"/>
      <c r="E598" s="136"/>
      <c r="F598" s="137"/>
      <c r="G598" s="136"/>
      <c r="H598" s="135"/>
      <c r="I598" s="133"/>
    </row>
    <row r="599" spans="1:9" x14ac:dyDescent="0.25">
      <c r="A599" s="135"/>
      <c r="B599" s="136"/>
      <c r="C599" s="136"/>
      <c r="D599" s="136"/>
      <c r="E599" s="136"/>
      <c r="F599" s="137"/>
      <c r="G599" s="136"/>
      <c r="H599" s="135"/>
      <c r="I599" s="133"/>
    </row>
    <row r="600" spans="1:9" x14ac:dyDescent="0.25">
      <c r="A600" s="135"/>
      <c r="B600" s="136"/>
      <c r="C600" s="136"/>
      <c r="D600" s="136"/>
      <c r="E600" s="136"/>
      <c r="F600" s="137"/>
      <c r="G600" s="136"/>
      <c r="H600" s="135"/>
      <c r="I600" s="133"/>
    </row>
    <row r="601" spans="1:9" x14ac:dyDescent="0.25">
      <c r="A601" s="135"/>
      <c r="B601" s="136"/>
      <c r="C601" s="136"/>
      <c r="D601" s="136"/>
      <c r="E601" s="136"/>
      <c r="F601" s="137"/>
      <c r="G601" s="136"/>
      <c r="H601" s="135"/>
      <c r="I601" s="133"/>
    </row>
    <row r="602" spans="1:9" x14ac:dyDescent="0.25">
      <c r="A602" s="135"/>
      <c r="B602" s="136"/>
      <c r="C602" s="136"/>
      <c r="D602" s="136"/>
      <c r="E602" s="136"/>
      <c r="F602" s="137"/>
      <c r="G602" s="136"/>
      <c r="H602" s="135"/>
      <c r="I602" s="133"/>
    </row>
    <row r="603" spans="1:9" x14ac:dyDescent="0.25">
      <c r="A603" s="135"/>
      <c r="B603" s="136"/>
      <c r="C603" s="136"/>
      <c r="D603" s="136"/>
      <c r="E603" s="136"/>
      <c r="F603" s="137"/>
      <c r="G603" s="136"/>
      <c r="H603" s="135"/>
      <c r="I603" s="133"/>
    </row>
    <row r="604" spans="1:9" x14ac:dyDescent="0.25">
      <c r="A604" s="135"/>
      <c r="B604" s="136"/>
      <c r="C604" s="136"/>
      <c r="D604" s="136"/>
      <c r="E604" s="136"/>
      <c r="F604" s="137"/>
      <c r="G604" s="136"/>
      <c r="H604" s="135"/>
      <c r="I604" s="133"/>
    </row>
    <row r="605" spans="1:9" x14ac:dyDescent="0.25">
      <c r="A605" s="135"/>
      <c r="B605" s="136"/>
      <c r="C605" s="136"/>
      <c r="D605" s="136"/>
      <c r="E605" s="136"/>
      <c r="F605" s="137"/>
      <c r="G605" s="136"/>
      <c r="H605" s="135"/>
      <c r="I605" s="133"/>
    </row>
    <row r="606" spans="1:9" x14ac:dyDescent="0.25">
      <c r="A606" s="135"/>
      <c r="B606" s="136"/>
      <c r="C606" s="136"/>
      <c r="D606" s="136"/>
      <c r="E606" s="136"/>
      <c r="F606" s="137"/>
      <c r="G606" s="136"/>
      <c r="H606" s="135"/>
      <c r="I606" s="133"/>
    </row>
    <row r="607" spans="1:9" x14ac:dyDescent="0.25">
      <c r="A607" s="135"/>
      <c r="B607" s="136"/>
      <c r="C607" s="136"/>
      <c r="D607" s="136"/>
      <c r="E607" s="136"/>
      <c r="F607" s="137"/>
      <c r="G607" s="136"/>
      <c r="H607" s="135"/>
      <c r="I607" s="133"/>
    </row>
    <row r="608" spans="1:9" x14ac:dyDescent="0.25">
      <c r="A608" s="135"/>
      <c r="B608" s="136"/>
      <c r="C608" s="136"/>
      <c r="D608" s="136"/>
      <c r="E608" s="136"/>
      <c r="F608" s="137"/>
      <c r="G608" s="136"/>
      <c r="H608" s="135"/>
      <c r="I608" s="133"/>
    </row>
    <row r="609" spans="1:9" x14ac:dyDescent="0.25">
      <c r="A609" s="135"/>
      <c r="B609" s="136"/>
      <c r="C609" s="136"/>
      <c r="D609" s="136"/>
      <c r="E609" s="136"/>
      <c r="F609" s="137"/>
      <c r="G609" s="136"/>
      <c r="H609" s="135"/>
      <c r="I609" s="133"/>
    </row>
    <row r="610" spans="1:9" x14ac:dyDescent="0.25">
      <c r="A610" s="135"/>
      <c r="B610" s="136"/>
      <c r="C610" s="136"/>
      <c r="D610" s="136"/>
      <c r="E610" s="136"/>
      <c r="F610" s="137"/>
      <c r="G610" s="136"/>
      <c r="H610" s="135"/>
      <c r="I610" s="133"/>
    </row>
    <row r="611" spans="1:9" x14ac:dyDescent="0.25">
      <c r="A611" s="135"/>
      <c r="B611" s="136"/>
      <c r="C611" s="136"/>
      <c r="D611" s="136"/>
      <c r="E611" s="136"/>
      <c r="F611" s="137"/>
      <c r="G611" s="136"/>
      <c r="H611" s="135"/>
      <c r="I611" s="133"/>
    </row>
    <row r="612" spans="1:9" x14ac:dyDescent="0.25">
      <c r="A612" s="135"/>
      <c r="B612" s="136"/>
      <c r="C612" s="136"/>
      <c r="D612" s="136"/>
      <c r="E612" s="136"/>
      <c r="F612" s="137"/>
      <c r="G612" s="136"/>
      <c r="H612" s="135"/>
      <c r="I612" s="133"/>
    </row>
    <row r="613" spans="1:9" x14ac:dyDescent="0.25">
      <c r="A613" s="135"/>
      <c r="B613" s="136"/>
      <c r="C613" s="136"/>
      <c r="D613" s="136"/>
      <c r="E613" s="136"/>
      <c r="F613" s="137"/>
      <c r="G613" s="136"/>
      <c r="H613" s="135"/>
      <c r="I613" s="133"/>
    </row>
    <row r="614" spans="1:9" x14ac:dyDescent="0.25">
      <c r="A614" s="135"/>
      <c r="B614" s="136"/>
      <c r="C614" s="136"/>
      <c r="D614" s="136"/>
      <c r="E614" s="136"/>
      <c r="F614" s="137"/>
      <c r="G614" s="136"/>
      <c r="H614" s="135"/>
      <c r="I614" s="133"/>
    </row>
    <row r="615" spans="1:9" x14ac:dyDescent="0.25">
      <c r="A615" s="135"/>
      <c r="B615" s="136"/>
      <c r="C615" s="136"/>
      <c r="D615" s="136"/>
      <c r="E615" s="136"/>
      <c r="F615" s="137"/>
      <c r="G615" s="136"/>
      <c r="H615" s="135"/>
      <c r="I615" s="133"/>
    </row>
    <row r="616" spans="1:9" x14ac:dyDescent="0.25">
      <c r="A616" s="135"/>
      <c r="B616" s="136"/>
      <c r="C616" s="136"/>
      <c r="D616" s="136"/>
      <c r="E616" s="136"/>
      <c r="F616" s="137"/>
      <c r="G616" s="136"/>
      <c r="H616" s="135"/>
      <c r="I616" s="133"/>
    </row>
    <row r="617" spans="1:9" x14ac:dyDescent="0.25">
      <c r="A617" s="135"/>
      <c r="B617" s="136"/>
      <c r="C617" s="136"/>
      <c r="D617" s="136"/>
      <c r="E617" s="136"/>
      <c r="F617" s="137"/>
      <c r="G617" s="136"/>
      <c r="H617" s="135"/>
      <c r="I617" s="133"/>
    </row>
    <row r="618" spans="1:9" x14ac:dyDescent="0.25">
      <c r="A618" s="135"/>
      <c r="B618" s="136"/>
      <c r="C618" s="136"/>
      <c r="D618" s="136"/>
      <c r="E618" s="136"/>
      <c r="F618" s="137"/>
      <c r="G618" s="136"/>
      <c r="H618" s="135"/>
      <c r="I618" s="133"/>
    </row>
    <row r="619" spans="1:9" x14ac:dyDescent="0.25">
      <c r="A619" s="135"/>
      <c r="B619" s="136"/>
      <c r="C619" s="136"/>
      <c r="D619" s="136"/>
      <c r="E619" s="136"/>
      <c r="F619" s="137"/>
      <c r="G619" s="136"/>
      <c r="H619" s="135"/>
      <c r="I619" s="133"/>
    </row>
    <row r="620" spans="1:9" x14ac:dyDescent="0.25">
      <c r="A620" s="135"/>
      <c r="B620" s="136"/>
      <c r="C620" s="136"/>
      <c r="D620" s="136"/>
      <c r="E620" s="136"/>
      <c r="F620" s="137"/>
      <c r="G620" s="136"/>
      <c r="H620" s="135"/>
      <c r="I620" s="133"/>
    </row>
    <row r="621" spans="1:9" x14ac:dyDescent="0.25">
      <c r="A621" s="135"/>
      <c r="B621" s="136"/>
      <c r="C621" s="136"/>
      <c r="D621" s="136"/>
      <c r="E621" s="136"/>
      <c r="F621" s="137"/>
      <c r="G621" s="136"/>
      <c r="H621" s="135"/>
      <c r="I621" s="133"/>
    </row>
    <row r="622" spans="1:9" x14ac:dyDescent="0.25">
      <c r="A622" s="135"/>
      <c r="B622" s="136"/>
      <c r="C622" s="136"/>
      <c r="D622" s="136"/>
      <c r="E622" s="136"/>
      <c r="F622" s="137"/>
      <c r="G622" s="136"/>
      <c r="H622" s="135"/>
      <c r="I622" s="133"/>
    </row>
    <row r="623" spans="1:9" x14ac:dyDescent="0.25">
      <c r="A623" s="135"/>
      <c r="B623" s="136"/>
      <c r="C623" s="136"/>
      <c r="D623" s="136"/>
      <c r="E623" s="136"/>
      <c r="F623" s="137"/>
      <c r="G623" s="136"/>
      <c r="H623" s="135"/>
      <c r="I623" s="133"/>
    </row>
    <row r="624" spans="1:9" x14ac:dyDescent="0.25">
      <c r="A624" s="135"/>
      <c r="B624" s="136"/>
      <c r="C624" s="136"/>
      <c r="D624" s="136"/>
      <c r="E624" s="136"/>
      <c r="F624" s="137"/>
      <c r="G624" s="136"/>
      <c r="H624" s="135"/>
      <c r="I624" s="133"/>
    </row>
    <row r="625" spans="1:9" x14ac:dyDescent="0.25">
      <c r="A625" s="135"/>
      <c r="B625" s="136"/>
      <c r="C625" s="136"/>
      <c r="D625" s="136"/>
      <c r="E625" s="136"/>
      <c r="F625" s="137"/>
      <c r="G625" s="136"/>
      <c r="H625" s="135"/>
      <c r="I625" s="133"/>
    </row>
    <row r="626" spans="1:9" x14ac:dyDescent="0.25">
      <c r="A626" s="135"/>
      <c r="B626" s="136"/>
      <c r="C626" s="136"/>
      <c r="D626" s="136"/>
      <c r="E626" s="136"/>
      <c r="F626" s="137"/>
      <c r="G626" s="136"/>
      <c r="H626" s="135"/>
      <c r="I626" s="133"/>
    </row>
    <row r="627" spans="1:9" x14ac:dyDescent="0.25">
      <c r="A627" s="135"/>
      <c r="B627" s="136"/>
      <c r="C627" s="136"/>
      <c r="D627" s="136"/>
      <c r="E627" s="136"/>
      <c r="F627" s="137"/>
      <c r="G627" s="136"/>
      <c r="H627" s="135"/>
      <c r="I627" s="133"/>
    </row>
    <row r="628" spans="1:9" x14ac:dyDescent="0.25">
      <c r="A628" s="135"/>
      <c r="B628" s="136"/>
      <c r="C628" s="136"/>
      <c r="D628" s="136"/>
      <c r="E628" s="136"/>
      <c r="F628" s="137"/>
      <c r="G628" s="136"/>
      <c r="H628" s="135"/>
      <c r="I628" s="133"/>
    </row>
    <row r="629" spans="1:9" x14ac:dyDescent="0.25">
      <c r="A629" s="135"/>
      <c r="B629" s="136"/>
      <c r="C629" s="136"/>
      <c r="D629" s="136"/>
      <c r="E629" s="136"/>
      <c r="F629" s="137"/>
      <c r="G629" s="136"/>
      <c r="H629" s="135"/>
      <c r="I629" s="133"/>
    </row>
    <row r="630" spans="1:9" x14ac:dyDescent="0.25">
      <c r="A630" s="135"/>
      <c r="B630" s="136"/>
      <c r="C630" s="136"/>
      <c r="D630" s="136"/>
      <c r="E630" s="136"/>
      <c r="F630" s="137"/>
      <c r="G630" s="136"/>
      <c r="H630" s="135"/>
      <c r="I630" s="133"/>
    </row>
    <row r="631" spans="1:9" x14ac:dyDescent="0.25">
      <c r="A631" s="135"/>
      <c r="B631" s="136"/>
      <c r="C631" s="136"/>
      <c r="D631" s="136"/>
      <c r="E631" s="136"/>
      <c r="F631" s="137"/>
      <c r="G631" s="136"/>
      <c r="H631" s="135"/>
      <c r="I631" s="133"/>
    </row>
    <row r="632" spans="1:9" x14ac:dyDescent="0.25">
      <c r="A632" s="135"/>
      <c r="B632" s="136"/>
      <c r="C632" s="136"/>
      <c r="D632" s="136"/>
      <c r="E632" s="136"/>
      <c r="F632" s="137"/>
      <c r="G632" s="136"/>
      <c r="H632" s="135"/>
      <c r="I632" s="133"/>
    </row>
    <row r="633" spans="1:9" x14ac:dyDescent="0.25">
      <c r="A633" s="135"/>
      <c r="B633" s="136"/>
      <c r="C633" s="136"/>
      <c r="D633" s="136"/>
      <c r="E633" s="136"/>
      <c r="F633" s="137"/>
      <c r="G633" s="136"/>
      <c r="H633" s="135"/>
      <c r="I633" s="133"/>
    </row>
    <row r="634" spans="1:9" x14ac:dyDescent="0.25">
      <c r="A634" s="135"/>
      <c r="B634" s="136"/>
      <c r="C634" s="136"/>
      <c r="D634" s="136"/>
      <c r="E634" s="136"/>
      <c r="F634" s="137"/>
      <c r="G634" s="136"/>
      <c r="H634" s="135"/>
      <c r="I634" s="133"/>
    </row>
    <row r="635" spans="1:9" x14ac:dyDescent="0.25">
      <c r="A635" s="135"/>
      <c r="B635" s="136"/>
      <c r="C635" s="136"/>
      <c r="D635" s="136"/>
      <c r="E635" s="136"/>
      <c r="F635" s="137"/>
      <c r="G635" s="136"/>
      <c r="H635" s="135"/>
      <c r="I635" s="133"/>
    </row>
    <row r="636" spans="1:9" x14ac:dyDescent="0.25">
      <c r="A636" s="135"/>
      <c r="B636" s="136"/>
      <c r="C636" s="136"/>
      <c r="D636" s="136"/>
      <c r="E636" s="136"/>
      <c r="F636" s="137"/>
      <c r="G636" s="136"/>
      <c r="H636" s="135"/>
      <c r="I636" s="133"/>
    </row>
    <row r="637" spans="1:9" x14ac:dyDescent="0.25">
      <c r="A637" s="135"/>
      <c r="B637" s="136"/>
      <c r="C637" s="136"/>
      <c r="D637" s="136"/>
      <c r="E637" s="136"/>
      <c r="F637" s="137"/>
      <c r="G637" s="136"/>
      <c r="H637" s="135"/>
      <c r="I637" s="133"/>
    </row>
    <row r="638" spans="1:9" x14ac:dyDescent="0.25">
      <c r="A638" s="135"/>
      <c r="B638" s="136"/>
      <c r="C638" s="136"/>
      <c r="D638" s="136"/>
      <c r="E638" s="136"/>
      <c r="F638" s="137"/>
      <c r="G638" s="136"/>
      <c r="H638" s="135"/>
      <c r="I638" s="133"/>
    </row>
    <row r="639" spans="1:9" x14ac:dyDescent="0.25">
      <c r="A639" s="135"/>
      <c r="B639" s="136"/>
      <c r="C639" s="136"/>
      <c r="D639" s="136"/>
      <c r="E639" s="136"/>
      <c r="F639" s="137"/>
      <c r="G639" s="136"/>
      <c r="H639" s="135"/>
      <c r="I639" s="133"/>
    </row>
    <row r="640" spans="1:9" x14ac:dyDescent="0.25">
      <c r="A640" s="135"/>
      <c r="B640" s="136"/>
      <c r="C640" s="136"/>
      <c r="D640" s="136"/>
      <c r="E640" s="136"/>
      <c r="F640" s="137"/>
      <c r="G640" s="136"/>
      <c r="H640" s="135"/>
      <c r="I640" s="133"/>
    </row>
    <row r="641" spans="1:9" x14ac:dyDescent="0.25">
      <c r="A641" s="135"/>
      <c r="B641" s="136"/>
      <c r="C641" s="136"/>
      <c r="D641" s="136"/>
      <c r="E641" s="136"/>
      <c r="F641" s="137"/>
      <c r="G641" s="136"/>
      <c r="H641" s="135"/>
      <c r="I641" s="133"/>
    </row>
    <row r="642" spans="1:9" x14ac:dyDescent="0.25">
      <c r="A642" s="135"/>
      <c r="B642" s="136"/>
      <c r="C642" s="136"/>
      <c r="D642" s="136"/>
      <c r="E642" s="136"/>
      <c r="F642" s="137"/>
      <c r="G642" s="136"/>
      <c r="H642" s="135"/>
      <c r="I642" s="133"/>
    </row>
    <row r="643" spans="1:9" x14ac:dyDescent="0.25">
      <c r="A643" s="135"/>
      <c r="B643" s="136"/>
      <c r="C643" s="136"/>
      <c r="D643" s="136"/>
      <c r="E643" s="136"/>
      <c r="F643" s="137"/>
      <c r="G643" s="136"/>
      <c r="H643" s="135"/>
      <c r="I643" s="133"/>
    </row>
    <row r="644" spans="1:9" x14ac:dyDescent="0.25">
      <c r="A644" s="135"/>
      <c r="B644" s="136"/>
      <c r="C644" s="136"/>
      <c r="D644" s="136"/>
      <c r="E644" s="136"/>
      <c r="F644" s="137"/>
      <c r="G644" s="136"/>
      <c r="H644" s="135"/>
      <c r="I644" s="133"/>
    </row>
    <row r="645" spans="1:9" x14ac:dyDescent="0.25">
      <c r="A645" s="135"/>
      <c r="B645" s="136"/>
      <c r="C645" s="136"/>
      <c r="D645" s="136"/>
      <c r="E645" s="136"/>
      <c r="F645" s="137"/>
      <c r="G645" s="136"/>
      <c r="H645" s="135"/>
      <c r="I645" s="133"/>
    </row>
    <row r="646" spans="1:9" x14ac:dyDescent="0.25">
      <c r="A646" s="135"/>
      <c r="B646" s="136"/>
      <c r="C646" s="136"/>
      <c r="D646" s="136"/>
      <c r="E646" s="136"/>
      <c r="F646" s="137"/>
      <c r="G646" s="136"/>
      <c r="H646" s="135"/>
      <c r="I646" s="133"/>
    </row>
    <row r="647" spans="1:9" x14ac:dyDescent="0.25">
      <c r="A647" s="135"/>
      <c r="B647" s="136"/>
      <c r="C647" s="136"/>
      <c r="D647" s="136"/>
      <c r="E647" s="136"/>
      <c r="F647" s="137"/>
      <c r="G647" s="136"/>
      <c r="H647" s="135"/>
      <c r="I647" s="133"/>
    </row>
    <row r="648" spans="1:9" x14ac:dyDescent="0.25">
      <c r="A648" s="135"/>
      <c r="B648" s="136"/>
      <c r="C648" s="136"/>
      <c r="D648" s="136"/>
      <c r="E648" s="136"/>
      <c r="F648" s="137"/>
      <c r="G648" s="136"/>
      <c r="H648" s="135"/>
      <c r="I648" s="133"/>
    </row>
    <row r="649" spans="1:9" x14ac:dyDescent="0.25">
      <c r="A649" s="135"/>
      <c r="B649" s="136"/>
      <c r="C649" s="136"/>
      <c r="D649" s="136"/>
      <c r="E649" s="136"/>
      <c r="F649" s="137"/>
      <c r="G649" s="136"/>
      <c r="H649" s="135"/>
      <c r="I649" s="133"/>
    </row>
    <row r="650" spans="1:9" x14ac:dyDescent="0.25">
      <c r="A650" s="135"/>
      <c r="B650" s="136"/>
      <c r="C650" s="136"/>
      <c r="D650" s="136"/>
      <c r="E650" s="136"/>
      <c r="F650" s="137"/>
      <c r="G650" s="136"/>
      <c r="H650" s="135"/>
      <c r="I650" s="133"/>
    </row>
    <row r="651" spans="1:9" x14ac:dyDescent="0.25">
      <c r="A651" s="135"/>
      <c r="B651" s="136"/>
      <c r="C651" s="136"/>
      <c r="D651" s="136"/>
      <c r="E651" s="136"/>
      <c r="F651" s="137"/>
      <c r="G651" s="136"/>
      <c r="H651" s="135"/>
      <c r="I651" s="133"/>
    </row>
    <row r="652" spans="1:9" x14ac:dyDescent="0.25">
      <c r="A652" s="135"/>
      <c r="B652" s="136"/>
      <c r="C652" s="136"/>
      <c r="D652" s="136"/>
      <c r="E652" s="136"/>
      <c r="F652" s="137"/>
      <c r="G652" s="136"/>
      <c r="H652" s="135"/>
      <c r="I652" s="133"/>
    </row>
    <row r="653" spans="1:9" x14ac:dyDescent="0.25">
      <c r="A653" s="135"/>
      <c r="B653" s="136"/>
      <c r="C653" s="136"/>
      <c r="D653" s="136"/>
      <c r="E653" s="136"/>
      <c r="F653" s="137"/>
      <c r="G653" s="136"/>
      <c r="H653" s="135"/>
      <c r="I653" s="133"/>
    </row>
    <row r="654" spans="1:9" x14ac:dyDescent="0.25">
      <c r="A654" s="135"/>
      <c r="B654" s="136"/>
      <c r="C654" s="136"/>
      <c r="D654" s="136"/>
      <c r="E654" s="136"/>
      <c r="F654" s="137"/>
      <c r="G654" s="136"/>
      <c r="H654" s="135"/>
      <c r="I654" s="133"/>
    </row>
    <row r="655" spans="1:9" x14ac:dyDescent="0.25">
      <c r="A655" s="135"/>
      <c r="B655" s="136"/>
      <c r="C655" s="136"/>
      <c r="D655" s="136"/>
      <c r="E655" s="136"/>
      <c r="F655" s="137"/>
      <c r="G655" s="136"/>
      <c r="H655" s="135"/>
      <c r="I655" s="133"/>
    </row>
    <row r="656" spans="1:9" x14ac:dyDescent="0.25">
      <c r="A656" s="135"/>
      <c r="B656" s="136"/>
      <c r="C656" s="136"/>
      <c r="D656" s="136"/>
      <c r="E656" s="136"/>
      <c r="F656" s="137"/>
      <c r="G656" s="136"/>
      <c r="H656" s="135"/>
      <c r="I656" s="133"/>
    </row>
    <row r="657" spans="1:9" x14ac:dyDescent="0.25">
      <c r="A657" s="135"/>
      <c r="B657" s="136"/>
      <c r="C657" s="136"/>
      <c r="D657" s="136"/>
      <c r="E657" s="136"/>
      <c r="F657" s="137"/>
      <c r="G657" s="136"/>
      <c r="H657" s="135"/>
      <c r="I657" s="133"/>
    </row>
    <row r="658" spans="1:9" x14ac:dyDescent="0.25">
      <c r="A658" s="135"/>
      <c r="B658" s="136"/>
      <c r="C658" s="136"/>
      <c r="D658" s="136"/>
      <c r="E658" s="136"/>
      <c r="F658" s="137"/>
      <c r="G658" s="136"/>
      <c r="H658" s="135"/>
      <c r="I658" s="133"/>
    </row>
    <row r="659" spans="1:9" x14ac:dyDescent="0.25">
      <c r="A659" s="135"/>
      <c r="B659" s="136"/>
      <c r="C659" s="136"/>
      <c r="D659" s="136"/>
      <c r="E659" s="136"/>
      <c r="F659" s="137"/>
      <c r="G659" s="136"/>
      <c r="H659" s="135"/>
      <c r="I659" s="133"/>
    </row>
    <row r="660" spans="1:9" x14ac:dyDescent="0.25">
      <c r="A660" s="135"/>
      <c r="B660" s="136"/>
      <c r="C660" s="136"/>
      <c r="D660" s="136"/>
      <c r="E660" s="136"/>
      <c r="F660" s="137"/>
      <c r="G660" s="136"/>
      <c r="H660" s="135"/>
      <c r="I660" s="133"/>
    </row>
    <row r="661" spans="1:9" x14ac:dyDescent="0.25">
      <c r="A661" s="135"/>
      <c r="B661" s="136"/>
      <c r="C661" s="136"/>
      <c r="D661" s="136"/>
      <c r="E661" s="136"/>
      <c r="F661" s="137"/>
      <c r="G661" s="136"/>
      <c r="H661" s="135"/>
      <c r="I661" s="133"/>
    </row>
    <row r="662" spans="1:9" x14ac:dyDescent="0.25">
      <c r="A662" s="135"/>
      <c r="B662" s="136"/>
      <c r="C662" s="136"/>
      <c r="D662" s="136"/>
      <c r="E662" s="136"/>
      <c r="F662" s="137"/>
      <c r="G662" s="136"/>
      <c r="H662" s="135"/>
      <c r="I662" s="133"/>
    </row>
    <row r="663" spans="1:9" x14ac:dyDescent="0.25">
      <c r="A663" s="135"/>
      <c r="B663" s="136"/>
      <c r="C663" s="136"/>
      <c r="D663" s="136"/>
      <c r="E663" s="136"/>
      <c r="F663" s="137"/>
      <c r="G663" s="136"/>
      <c r="H663" s="135"/>
      <c r="I663" s="133"/>
    </row>
    <row r="664" spans="1:9" x14ac:dyDescent="0.25">
      <c r="A664" s="135"/>
      <c r="B664" s="136"/>
      <c r="C664" s="136"/>
      <c r="D664" s="136"/>
      <c r="E664" s="136"/>
      <c r="F664" s="137"/>
      <c r="G664" s="136"/>
      <c r="H664" s="135"/>
      <c r="I664" s="133"/>
    </row>
    <row r="665" spans="1:9" x14ac:dyDescent="0.25">
      <c r="A665" s="135"/>
      <c r="B665" s="136"/>
      <c r="C665" s="136"/>
      <c r="D665" s="136"/>
      <c r="E665" s="136"/>
      <c r="F665" s="137"/>
      <c r="G665" s="136"/>
      <c r="H665" s="135"/>
      <c r="I665" s="133"/>
    </row>
    <row r="666" spans="1:9" x14ac:dyDescent="0.25">
      <c r="A666" s="135"/>
      <c r="B666" s="136"/>
      <c r="C666" s="136"/>
      <c r="D666" s="136"/>
      <c r="E666" s="136"/>
      <c r="F666" s="137"/>
      <c r="G666" s="136"/>
      <c r="H666" s="135"/>
      <c r="I666" s="133"/>
    </row>
    <row r="667" spans="1:9" x14ac:dyDescent="0.25">
      <c r="A667" s="135"/>
      <c r="B667" s="136"/>
      <c r="C667" s="136"/>
      <c r="D667" s="136"/>
      <c r="E667" s="136"/>
      <c r="F667" s="137"/>
      <c r="G667" s="136"/>
      <c r="H667" s="135"/>
      <c r="I667" s="133"/>
    </row>
    <row r="668" spans="1:9" x14ac:dyDescent="0.25">
      <c r="A668" s="135"/>
      <c r="B668" s="136"/>
      <c r="C668" s="136"/>
      <c r="D668" s="136"/>
      <c r="E668" s="136"/>
      <c r="F668" s="137"/>
      <c r="G668" s="136"/>
      <c r="H668" s="135"/>
      <c r="I668" s="133"/>
    </row>
    <row r="669" spans="1:9" x14ac:dyDescent="0.25">
      <c r="A669" s="135"/>
      <c r="B669" s="136"/>
      <c r="C669" s="136"/>
      <c r="D669" s="136"/>
      <c r="E669" s="136"/>
      <c r="F669" s="137"/>
      <c r="G669" s="136"/>
      <c r="H669" s="135"/>
      <c r="I669" s="133"/>
    </row>
    <row r="670" spans="1:9" x14ac:dyDescent="0.25">
      <c r="A670" s="135"/>
      <c r="B670" s="136"/>
      <c r="C670" s="136"/>
      <c r="D670" s="136"/>
      <c r="E670" s="136"/>
      <c r="F670" s="137"/>
      <c r="G670" s="136"/>
      <c r="H670" s="135"/>
      <c r="I670" s="133"/>
    </row>
    <row r="671" spans="1:9" x14ac:dyDescent="0.25">
      <c r="A671" s="135"/>
      <c r="B671" s="136"/>
      <c r="C671" s="136"/>
      <c r="D671" s="136"/>
      <c r="E671" s="136"/>
      <c r="F671" s="137"/>
      <c r="G671" s="136"/>
      <c r="H671" s="135"/>
      <c r="I671" s="133"/>
    </row>
    <row r="672" spans="1:9" x14ac:dyDescent="0.25">
      <c r="A672" s="135"/>
      <c r="B672" s="136"/>
      <c r="C672" s="136"/>
      <c r="D672" s="136"/>
      <c r="E672" s="136"/>
      <c r="F672" s="137"/>
      <c r="G672" s="136"/>
      <c r="H672" s="135"/>
      <c r="I672" s="133"/>
    </row>
    <row r="673" spans="1:9" x14ac:dyDescent="0.25">
      <c r="A673" s="135"/>
      <c r="B673" s="136"/>
      <c r="C673" s="136"/>
      <c r="D673" s="136"/>
      <c r="E673" s="136"/>
      <c r="F673" s="137"/>
      <c r="G673" s="136"/>
      <c r="H673" s="135"/>
      <c r="I673" s="133"/>
    </row>
    <row r="674" spans="1:9" x14ac:dyDescent="0.25">
      <c r="A674" s="135"/>
      <c r="B674" s="136"/>
      <c r="C674" s="136"/>
      <c r="D674" s="136"/>
      <c r="E674" s="136"/>
      <c r="F674" s="137"/>
      <c r="G674" s="136"/>
      <c r="H674" s="135"/>
      <c r="I674" s="133"/>
    </row>
    <row r="675" spans="1:9" x14ac:dyDescent="0.25">
      <c r="A675" s="135"/>
      <c r="B675" s="136"/>
      <c r="C675" s="136"/>
      <c r="D675" s="136"/>
      <c r="E675" s="136"/>
      <c r="F675" s="137"/>
      <c r="G675" s="136"/>
      <c r="H675" s="135"/>
      <c r="I675" s="133"/>
    </row>
    <row r="676" spans="1:9" x14ac:dyDescent="0.25">
      <c r="A676" s="135"/>
      <c r="B676" s="136"/>
      <c r="C676" s="136"/>
      <c r="D676" s="136"/>
      <c r="E676" s="136"/>
      <c r="F676" s="137"/>
      <c r="G676" s="136"/>
      <c r="H676" s="135"/>
      <c r="I676" s="133"/>
    </row>
    <row r="677" spans="1:9" x14ac:dyDescent="0.25">
      <c r="A677" s="135"/>
      <c r="B677" s="136"/>
      <c r="C677" s="136"/>
      <c r="D677" s="136"/>
      <c r="E677" s="136"/>
      <c r="F677" s="137"/>
      <c r="G677" s="136"/>
      <c r="H677" s="135"/>
      <c r="I677" s="133"/>
    </row>
    <row r="678" spans="1:9" x14ac:dyDescent="0.25">
      <c r="A678" s="135"/>
      <c r="B678" s="136"/>
      <c r="C678" s="136"/>
      <c r="D678" s="136"/>
      <c r="E678" s="136"/>
      <c r="F678" s="137"/>
      <c r="G678" s="136"/>
      <c r="H678" s="135"/>
      <c r="I678" s="133"/>
    </row>
    <row r="679" spans="1:9" x14ac:dyDescent="0.25">
      <c r="A679" s="135"/>
      <c r="B679" s="136"/>
      <c r="C679" s="136"/>
      <c r="D679" s="136"/>
      <c r="E679" s="136"/>
      <c r="F679" s="137"/>
      <c r="G679" s="136"/>
      <c r="H679" s="135"/>
      <c r="I679" s="133"/>
    </row>
    <row r="680" spans="1:9" x14ac:dyDescent="0.25">
      <c r="A680" s="135"/>
      <c r="B680" s="136"/>
      <c r="C680" s="136"/>
      <c r="D680" s="136"/>
      <c r="E680" s="136"/>
      <c r="F680" s="137"/>
      <c r="G680" s="136"/>
      <c r="H680" s="135"/>
      <c r="I680" s="133"/>
    </row>
    <row r="681" spans="1:9" x14ac:dyDescent="0.25">
      <c r="A681" s="135"/>
      <c r="B681" s="136"/>
      <c r="C681" s="136"/>
      <c r="D681" s="136"/>
      <c r="E681" s="136"/>
      <c r="F681" s="137"/>
      <c r="G681" s="136"/>
      <c r="H681" s="135"/>
      <c r="I681" s="133"/>
    </row>
    <row r="682" spans="1:9" x14ac:dyDescent="0.25">
      <c r="A682" s="135"/>
      <c r="B682" s="136"/>
      <c r="C682" s="136"/>
      <c r="D682" s="136"/>
      <c r="E682" s="136"/>
      <c r="F682" s="137"/>
      <c r="G682" s="136"/>
      <c r="H682" s="135"/>
      <c r="I682" s="133"/>
    </row>
    <row r="683" spans="1:9" x14ac:dyDescent="0.25">
      <c r="A683" s="135"/>
      <c r="B683" s="136"/>
      <c r="C683" s="136"/>
      <c r="D683" s="136"/>
      <c r="E683" s="136"/>
      <c r="F683" s="137"/>
      <c r="G683" s="136"/>
      <c r="H683" s="135"/>
      <c r="I683" s="133"/>
    </row>
    <row r="684" spans="1:9" x14ac:dyDescent="0.25">
      <c r="A684" s="135"/>
      <c r="B684" s="136"/>
      <c r="C684" s="136"/>
      <c r="D684" s="136"/>
      <c r="E684" s="136"/>
      <c r="F684" s="137"/>
      <c r="G684" s="136"/>
      <c r="H684" s="135"/>
      <c r="I684" s="133"/>
    </row>
    <row r="685" spans="1:9" x14ac:dyDescent="0.25">
      <c r="A685" s="135"/>
      <c r="B685" s="136"/>
      <c r="C685" s="136"/>
      <c r="D685" s="136"/>
      <c r="E685" s="136"/>
      <c r="F685" s="137"/>
      <c r="G685" s="136"/>
      <c r="H685" s="135"/>
      <c r="I685" s="133"/>
    </row>
    <row r="686" spans="1:9" x14ac:dyDescent="0.25">
      <c r="A686" s="135"/>
      <c r="B686" s="136"/>
      <c r="C686" s="136"/>
      <c r="D686" s="136"/>
      <c r="E686" s="136"/>
      <c r="F686" s="137"/>
      <c r="G686" s="136"/>
      <c r="H686" s="135"/>
      <c r="I686" s="133"/>
    </row>
    <row r="687" spans="1:9" x14ac:dyDescent="0.25">
      <c r="A687" s="135"/>
      <c r="B687" s="136"/>
      <c r="C687" s="136"/>
      <c r="D687" s="136"/>
      <c r="E687" s="136"/>
      <c r="F687" s="137"/>
      <c r="G687" s="136"/>
      <c r="H687" s="135"/>
      <c r="I687" s="133"/>
    </row>
    <row r="688" spans="1:9" x14ac:dyDescent="0.25">
      <c r="A688" s="135"/>
      <c r="B688" s="136"/>
      <c r="C688" s="136"/>
      <c r="D688" s="136"/>
      <c r="E688" s="136"/>
      <c r="F688" s="137"/>
      <c r="G688" s="136"/>
      <c r="H688" s="135"/>
      <c r="I688" s="133"/>
    </row>
    <row r="689" spans="1:9" x14ac:dyDescent="0.25">
      <c r="A689" s="135"/>
      <c r="B689" s="136"/>
      <c r="C689" s="136"/>
      <c r="D689" s="136"/>
      <c r="E689" s="136"/>
      <c r="F689" s="137"/>
      <c r="G689" s="136"/>
      <c r="H689" s="135"/>
      <c r="I689" s="133"/>
    </row>
    <row r="690" spans="1:9" x14ac:dyDescent="0.25">
      <c r="A690" s="135"/>
      <c r="B690" s="136"/>
      <c r="C690" s="136"/>
      <c r="D690" s="136"/>
      <c r="E690" s="136"/>
      <c r="F690" s="137"/>
      <c r="G690" s="136"/>
      <c r="H690" s="135"/>
      <c r="I690" s="133"/>
    </row>
    <row r="691" spans="1:9" x14ac:dyDescent="0.25">
      <c r="A691" s="135"/>
      <c r="B691" s="136"/>
      <c r="C691" s="136"/>
      <c r="D691" s="136"/>
      <c r="E691" s="136"/>
      <c r="F691" s="137"/>
      <c r="G691" s="136"/>
      <c r="H691" s="135"/>
      <c r="I691" s="133"/>
    </row>
    <row r="692" spans="1:9" x14ac:dyDescent="0.25">
      <c r="A692" s="135"/>
      <c r="B692" s="136"/>
      <c r="C692" s="136"/>
      <c r="D692" s="136"/>
      <c r="E692" s="136"/>
      <c r="F692" s="137"/>
      <c r="G692" s="136"/>
      <c r="H692" s="135"/>
      <c r="I692" s="133"/>
    </row>
    <row r="693" spans="1:9" x14ac:dyDescent="0.25">
      <c r="A693" s="135"/>
      <c r="B693" s="136"/>
      <c r="C693" s="136"/>
      <c r="D693" s="136"/>
      <c r="E693" s="136"/>
      <c r="F693" s="137"/>
      <c r="G693" s="136"/>
      <c r="H693" s="135"/>
      <c r="I693" s="133"/>
    </row>
    <row r="694" spans="1:9" x14ac:dyDescent="0.25">
      <c r="A694" s="135"/>
      <c r="B694" s="136"/>
      <c r="C694" s="136"/>
      <c r="D694" s="136"/>
      <c r="E694" s="136"/>
      <c r="F694" s="137"/>
      <c r="G694" s="136"/>
      <c r="H694" s="135"/>
      <c r="I694" s="133"/>
    </row>
    <row r="695" spans="1:9" x14ac:dyDescent="0.25">
      <c r="A695" s="135"/>
      <c r="B695" s="136"/>
      <c r="C695" s="136"/>
      <c r="D695" s="136"/>
      <c r="E695" s="136"/>
      <c r="F695" s="137"/>
      <c r="G695" s="136"/>
      <c r="H695" s="135"/>
      <c r="I695" s="133"/>
    </row>
    <row r="696" spans="1:9" x14ac:dyDescent="0.25">
      <c r="A696" s="135"/>
      <c r="B696" s="136"/>
      <c r="C696" s="136"/>
      <c r="D696" s="136"/>
      <c r="E696" s="136"/>
      <c r="F696" s="137"/>
      <c r="G696" s="136"/>
      <c r="H696" s="135"/>
      <c r="I696" s="133"/>
    </row>
    <row r="697" spans="1:9" x14ac:dyDescent="0.25">
      <c r="A697" s="135"/>
      <c r="B697" s="136"/>
      <c r="C697" s="136"/>
      <c r="D697" s="136"/>
      <c r="E697" s="136"/>
      <c r="F697" s="137"/>
      <c r="G697" s="136"/>
      <c r="H697" s="135"/>
      <c r="I697" s="133"/>
    </row>
    <row r="698" spans="1:9" x14ac:dyDescent="0.25">
      <c r="A698" s="135"/>
      <c r="B698" s="136"/>
      <c r="C698" s="136"/>
      <c r="D698" s="136"/>
      <c r="E698" s="136"/>
      <c r="F698" s="137"/>
      <c r="G698" s="136"/>
      <c r="H698" s="135"/>
      <c r="I698" s="133"/>
    </row>
    <row r="699" spans="1:9" x14ac:dyDescent="0.25">
      <c r="A699" s="135"/>
      <c r="B699" s="136"/>
      <c r="C699" s="136"/>
      <c r="D699" s="136"/>
      <c r="E699" s="136"/>
      <c r="F699" s="137"/>
      <c r="G699" s="136"/>
      <c r="H699" s="135"/>
      <c r="I699" s="133"/>
    </row>
    <row r="700" spans="1:9" x14ac:dyDescent="0.25">
      <c r="A700" s="135"/>
      <c r="B700" s="136"/>
      <c r="C700" s="136"/>
      <c r="D700" s="136"/>
      <c r="E700" s="136"/>
      <c r="F700" s="137"/>
      <c r="G700" s="136"/>
      <c r="H700" s="135"/>
      <c r="I700" s="133"/>
    </row>
    <row r="701" spans="1:9" x14ac:dyDescent="0.25">
      <c r="A701" s="135"/>
      <c r="B701" s="136"/>
      <c r="C701" s="136"/>
      <c r="D701" s="136"/>
      <c r="E701" s="136"/>
      <c r="F701" s="137"/>
      <c r="G701" s="136"/>
      <c r="H701" s="135"/>
      <c r="I701" s="133"/>
    </row>
    <row r="702" spans="1:9" x14ac:dyDescent="0.25">
      <c r="A702" s="135"/>
      <c r="B702" s="136"/>
      <c r="C702" s="136"/>
      <c r="D702" s="136"/>
      <c r="E702" s="136"/>
      <c r="F702" s="137"/>
      <c r="G702" s="136"/>
      <c r="H702" s="135"/>
      <c r="I702" s="133"/>
    </row>
    <row r="703" spans="1:9" x14ac:dyDescent="0.25">
      <c r="A703" s="135"/>
      <c r="B703" s="136"/>
      <c r="C703" s="136"/>
      <c r="D703" s="136"/>
      <c r="E703" s="136"/>
      <c r="F703" s="137"/>
      <c r="G703" s="136"/>
      <c r="H703" s="135"/>
      <c r="I703" s="133"/>
    </row>
    <row r="704" spans="1:9" x14ac:dyDescent="0.25">
      <c r="A704" s="135"/>
      <c r="B704" s="136"/>
      <c r="C704" s="136"/>
      <c r="D704" s="136"/>
      <c r="E704" s="136"/>
      <c r="F704" s="137"/>
      <c r="G704" s="136"/>
      <c r="H704" s="135"/>
      <c r="I704" s="133"/>
    </row>
    <row r="705" spans="1:9" x14ac:dyDescent="0.25">
      <c r="A705" s="135"/>
      <c r="B705" s="136"/>
      <c r="C705" s="136"/>
      <c r="D705" s="136"/>
      <c r="E705" s="136"/>
      <c r="F705" s="137"/>
      <c r="G705" s="136"/>
      <c r="H705" s="135"/>
      <c r="I705" s="133"/>
    </row>
    <row r="706" spans="1:9" x14ac:dyDescent="0.25">
      <c r="A706" s="135"/>
      <c r="B706" s="136"/>
      <c r="C706" s="136"/>
      <c r="D706" s="136"/>
      <c r="E706" s="136"/>
      <c r="F706" s="137"/>
      <c r="G706" s="136"/>
      <c r="H706" s="135"/>
      <c r="I706" s="133"/>
    </row>
    <row r="707" spans="1:9" x14ac:dyDescent="0.25">
      <c r="A707" s="135"/>
      <c r="B707" s="136"/>
      <c r="C707" s="136"/>
      <c r="D707" s="136"/>
      <c r="E707" s="136"/>
      <c r="F707" s="137"/>
      <c r="G707" s="136"/>
      <c r="H707" s="135"/>
      <c r="I707" s="133"/>
    </row>
    <row r="708" spans="1:9" x14ac:dyDescent="0.25">
      <c r="A708" s="135"/>
      <c r="B708" s="136"/>
      <c r="C708" s="136"/>
      <c r="D708" s="136"/>
      <c r="E708" s="136"/>
      <c r="F708" s="137"/>
      <c r="G708" s="136"/>
      <c r="H708" s="135"/>
      <c r="I708" s="133"/>
    </row>
    <row r="709" spans="1:9" x14ac:dyDescent="0.25">
      <c r="A709" s="135"/>
      <c r="B709" s="136"/>
      <c r="C709" s="136"/>
      <c r="D709" s="136"/>
      <c r="E709" s="136"/>
      <c r="F709" s="137"/>
      <c r="G709" s="136"/>
      <c r="H709" s="135"/>
      <c r="I709" s="133"/>
    </row>
    <row r="710" spans="1:9" x14ac:dyDescent="0.25">
      <c r="A710" s="135"/>
      <c r="B710" s="136"/>
      <c r="C710" s="136"/>
      <c r="D710" s="136"/>
      <c r="E710" s="136"/>
      <c r="F710" s="137"/>
      <c r="G710" s="136"/>
      <c r="H710" s="135"/>
      <c r="I710" s="133"/>
    </row>
    <row r="711" spans="1:9" x14ac:dyDescent="0.25">
      <c r="A711" s="135"/>
      <c r="B711" s="136"/>
      <c r="C711" s="136"/>
      <c r="D711" s="136"/>
      <c r="E711" s="136"/>
      <c r="F711" s="137"/>
      <c r="G711" s="136"/>
      <c r="H711" s="135"/>
      <c r="I711" s="133"/>
    </row>
    <row r="712" spans="1:9" x14ac:dyDescent="0.25">
      <c r="A712" s="135"/>
      <c r="B712" s="136"/>
      <c r="C712" s="136"/>
      <c r="D712" s="136"/>
      <c r="E712" s="136"/>
      <c r="F712" s="137"/>
      <c r="G712" s="136"/>
      <c r="H712" s="135"/>
      <c r="I712" s="133"/>
    </row>
    <row r="713" spans="1:9" x14ac:dyDescent="0.25">
      <c r="A713" s="135"/>
      <c r="B713" s="136"/>
      <c r="C713" s="136"/>
      <c r="D713" s="136"/>
      <c r="E713" s="136"/>
      <c r="F713" s="137"/>
      <c r="G713" s="136"/>
      <c r="H713" s="135"/>
      <c r="I713" s="133"/>
    </row>
    <row r="714" spans="1:9" x14ac:dyDescent="0.25">
      <c r="A714" s="135"/>
      <c r="B714" s="136"/>
      <c r="C714" s="136"/>
      <c r="D714" s="136"/>
      <c r="E714" s="136"/>
      <c r="F714" s="137"/>
      <c r="G714" s="136"/>
      <c r="H714" s="135"/>
      <c r="I714" s="133"/>
    </row>
    <row r="715" spans="1:9" x14ac:dyDescent="0.25">
      <c r="A715" s="135"/>
      <c r="B715" s="136"/>
      <c r="C715" s="136"/>
      <c r="D715" s="136"/>
      <c r="E715" s="136"/>
      <c r="F715" s="137"/>
      <c r="G715" s="136"/>
      <c r="H715" s="135"/>
      <c r="I715" s="133"/>
    </row>
    <row r="716" spans="1:9" x14ac:dyDescent="0.25">
      <c r="A716" s="135"/>
      <c r="B716" s="136"/>
      <c r="C716" s="136"/>
      <c r="D716" s="136"/>
      <c r="E716" s="136"/>
      <c r="F716" s="137"/>
      <c r="G716" s="136"/>
      <c r="H716" s="135"/>
      <c r="I716" s="133"/>
    </row>
    <row r="717" spans="1:9" x14ac:dyDescent="0.25">
      <c r="A717" s="135"/>
      <c r="B717" s="136"/>
      <c r="C717" s="136"/>
      <c r="D717" s="136"/>
      <c r="E717" s="136"/>
      <c r="F717" s="137"/>
      <c r="G717" s="136"/>
      <c r="H717" s="135"/>
      <c r="I717" s="133"/>
    </row>
    <row r="718" spans="1:9" x14ac:dyDescent="0.25">
      <c r="A718" s="135"/>
      <c r="B718" s="136"/>
      <c r="C718" s="136"/>
      <c r="D718" s="136"/>
      <c r="E718" s="136"/>
      <c r="F718" s="137"/>
      <c r="G718" s="136"/>
      <c r="H718" s="135"/>
      <c r="I718" s="133"/>
    </row>
    <row r="719" spans="1:9" x14ac:dyDescent="0.25">
      <c r="A719" s="135"/>
      <c r="B719" s="136"/>
      <c r="C719" s="136"/>
      <c r="D719" s="136"/>
      <c r="E719" s="136"/>
      <c r="F719" s="137"/>
      <c r="G719" s="136"/>
      <c r="H719" s="135"/>
      <c r="I719" s="133"/>
    </row>
    <row r="720" spans="1:9" x14ac:dyDescent="0.25">
      <c r="A720" s="135"/>
      <c r="B720" s="136"/>
      <c r="C720" s="136"/>
      <c r="D720" s="136"/>
      <c r="E720" s="136"/>
      <c r="F720" s="137"/>
      <c r="G720" s="136"/>
      <c r="H720" s="135"/>
      <c r="I720" s="133"/>
    </row>
    <row r="721" spans="1:9" x14ac:dyDescent="0.25">
      <c r="A721" s="135"/>
      <c r="B721" s="136"/>
      <c r="C721" s="136"/>
      <c r="D721" s="136"/>
      <c r="E721" s="136"/>
      <c r="F721" s="137"/>
      <c r="G721" s="136"/>
      <c r="H721" s="135"/>
      <c r="I721" s="133"/>
    </row>
    <row r="722" spans="1:9" x14ac:dyDescent="0.25">
      <c r="A722" s="135"/>
      <c r="B722" s="136"/>
      <c r="C722" s="136"/>
      <c r="D722" s="136"/>
      <c r="E722" s="136"/>
      <c r="F722" s="137"/>
      <c r="G722" s="136"/>
      <c r="H722" s="135"/>
      <c r="I722" s="133"/>
    </row>
    <row r="723" spans="1:9" x14ac:dyDescent="0.25">
      <c r="A723" s="135"/>
      <c r="B723" s="136"/>
      <c r="C723" s="136"/>
      <c r="D723" s="136"/>
      <c r="E723" s="136"/>
      <c r="F723" s="137"/>
      <c r="G723" s="136"/>
      <c r="H723" s="135"/>
      <c r="I723" s="133"/>
    </row>
    <row r="724" spans="1:9" x14ac:dyDescent="0.25">
      <c r="A724" s="135"/>
      <c r="B724" s="136"/>
      <c r="C724" s="136"/>
      <c r="D724" s="136"/>
      <c r="E724" s="136"/>
      <c r="F724" s="137"/>
      <c r="G724" s="136"/>
      <c r="H724" s="135"/>
      <c r="I724" s="133"/>
    </row>
    <row r="725" spans="1:9" x14ac:dyDescent="0.25">
      <c r="A725" s="135"/>
      <c r="B725" s="136"/>
      <c r="C725" s="136"/>
      <c r="D725" s="136"/>
      <c r="E725" s="136"/>
      <c r="F725" s="137"/>
      <c r="G725" s="136"/>
      <c r="H725" s="135"/>
      <c r="I725" s="133"/>
    </row>
    <row r="726" spans="1:9" x14ac:dyDescent="0.25">
      <c r="A726" s="135"/>
      <c r="B726" s="136"/>
      <c r="C726" s="136"/>
      <c r="D726" s="136"/>
      <c r="E726" s="136"/>
      <c r="F726" s="137"/>
      <c r="G726" s="136"/>
      <c r="H726" s="135"/>
      <c r="I726" s="133"/>
    </row>
    <row r="727" spans="1:9" x14ac:dyDescent="0.25">
      <c r="A727" s="135"/>
      <c r="B727" s="136"/>
      <c r="C727" s="136"/>
      <c r="D727" s="136"/>
      <c r="E727" s="136"/>
      <c r="F727" s="137"/>
      <c r="G727" s="136"/>
      <c r="H727" s="135"/>
      <c r="I727" s="133"/>
    </row>
    <row r="728" spans="1:9" x14ac:dyDescent="0.25">
      <c r="A728" s="135"/>
      <c r="B728" s="136"/>
      <c r="C728" s="136"/>
      <c r="D728" s="136"/>
      <c r="E728" s="136"/>
      <c r="F728" s="137"/>
      <c r="G728" s="136"/>
      <c r="H728" s="135"/>
      <c r="I728" s="133"/>
    </row>
    <row r="729" spans="1:9" x14ac:dyDescent="0.25">
      <c r="A729" s="135"/>
      <c r="B729" s="136"/>
      <c r="C729" s="136"/>
      <c r="D729" s="136"/>
      <c r="E729" s="136"/>
      <c r="F729" s="137"/>
      <c r="G729" s="136"/>
      <c r="H729" s="135"/>
      <c r="I729" s="133"/>
    </row>
    <row r="730" spans="1:9" x14ac:dyDescent="0.25">
      <c r="A730" s="135"/>
      <c r="B730" s="136"/>
      <c r="C730" s="136"/>
      <c r="D730" s="136"/>
      <c r="E730" s="136"/>
      <c r="F730" s="137"/>
      <c r="G730" s="136"/>
      <c r="H730" s="135"/>
      <c r="I730" s="133"/>
    </row>
    <row r="731" spans="1:9" x14ac:dyDescent="0.25">
      <c r="A731" s="135"/>
      <c r="B731" s="136"/>
      <c r="C731" s="136"/>
      <c r="D731" s="136"/>
      <c r="E731" s="136"/>
      <c r="F731" s="137"/>
      <c r="G731" s="136"/>
      <c r="H731" s="135"/>
      <c r="I731" s="133"/>
    </row>
    <row r="732" spans="1:9" x14ac:dyDescent="0.25">
      <c r="A732" s="135"/>
      <c r="B732" s="136"/>
      <c r="C732" s="136"/>
      <c r="D732" s="136"/>
      <c r="E732" s="136"/>
      <c r="F732" s="137"/>
      <c r="G732" s="136"/>
      <c r="H732" s="135"/>
      <c r="I732" s="133"/>
    </row>
    <row r="733" spans="1:9" x14ac:dyDescent="0.25">
      <c r="A733" s="135"/>
      <c r="B733" s="136"/>
      <c r="C733" s="136"/>
      <c r="D733" s="136"/>
      <c r="E733" s="136"/>
      <c r="F733" s="137"/>
      <c r="G733" s="136"/>
      <c r="H733" s="135"/>
      <c r="I733" s="133"/>
    </row>
    <row r="734" spans="1:9" x14ac:dyDescent="0.25">
      <c r="A734" s="135"/>
      <c r="B734" s="136"/>
      <c r="C734" s="136"/>
      <c r="D734" s="136"/>
      <c r="E734" s="136"/>
      <c r="F734" s="137"/>
      <c r="G734" s="136"/>
      <c r="H734" s="135"/>
      <c r="I734" s="133"/>
    </row>
    <row r="735" spans="1:9" x14ac:dyDescent="0.25">
      <c r="A735" s="135"/>
      <c r="B735" s="136"/>
      <c r="C735" s="136"/>
      <c r="D735" s="136"/>
      <c r="E735" s="136"/>
      <c r="F735" s="137"/>
      <c r="G735" s="136"/>
      <c r="H735" s="135"/>
      <c r="I735" s="133"/>
    </row>
    <row r="736" spans="1:9" x14ac:dyDescent="0.25">
      <c r="A736" s="135"/>
      <c r="B736" s="136"/>
      <c r="C736" s="136"/>
      <c r="D736" s="136"/>
      <c r="E736" s="136"/>
      <c r="F736" s="137"/>
      <c r="G736" s="136"/>
      <c r="H736" s="135"/>
      <c r="I736" s="133"/>
    </row>
    <row r="737" spans="1:9" x14ac:dyDescent="0.25">
      <c r="A737" s="135"/>
      <c r="B737" s="136"/>
      <c r="C737" s="136"/>
      <c r="D737" s="136"/>
      <c r="E737" s="136"/>
      <c r="F737" s="137"/>
      <c r="G737" s="136"/>
      <c r="H737" s="135"/>
      <c r="I737" s="133"/>
    </row>
    <row r="738" spans="1:9" x14ac:dyDescent="0.25">
      <c r="A738" s="135"/>
      <c r="B738" s="136"/>
      <c r="C738" s="136"/>
      <c r="D738" s="136"/>
      <c r="E738" s="136"/>
      <c r="F738" s="137"/>
      <c r="G738" s="136"/>
      <c r="H738" s="135"/>
      <c r="I738" s="133"/>
    </row>
    <row r="739" spans="1:9" x14ac:dyDescent="0.25">
      <c r="A739" s="135"/>
      <c r="B739" s="136"/>
      <c r="C739" s="136"/>
      <c r="D739" s="136"/>
      <c r="E739" s="136"/>
      <c r="F739" s="137"/>
      <c r="G739" s="136"/>
      <c r="H739" s="135"/>
      <c r="I739" s="133"/>
    </row>
    <row r="740" spans="1:9" x14ac:dyDescent="0.25">
      <c r="A740" s="135"/>
      <c r="B740" s="136"/>
      <c r="C740" s="136"/>
      <c r="D740" s="136"/>
      <c r="E740" s="136"/>
      <c r="F740" s="137"/>
      <c r="G740" s="136"/>
      <c r="H740" s="135"/>
      <c r="I740" s="133"/>
    </row>
    <row r="741" spans="1:9" x14ac:dyDescent="0.25">
      <c r="A741" s="135"/>
      <c r="B741" s="136"/>
      <c r="C741" s="136"/>
      <c r="D741" s="136"/>
      <c r="E741" s="136"/>
      <c r="F741" s="137"/>
      <c r="G741" s="136"/>
      <c r="H741" s="135"/>
      <c r="I741" s="133"/>
    </row>
    <row r="742" spans="1:9" x14ac:dyDescent="0.25">
      <c r="A742" s="135"/>
      <c r="B742" s="136"/>
      <c r="C742" s="136"/>
      <c r="D742" s="136"/>
      <c r="E742" s="136"/>
      <c r="F742" s="137"/>
      <c r="G742" s="136"/>
      <c r="H742" s="135"/>
      <c r="I742" s="133"/>
    </row>
    <row r="743" spans="1:9" x14ac:dyDescent="0.25">
      <c r="A743" s="135"/>
      <c r="B743" s="136"/>
      <c r="C743" s="136"/>
      <c r="D743" s="136"/>
      <c r="E743" s="136"/>
      <c r="F743" s="137"/>
      <c r="G743" s="136"/>
      <c r="H743" s="135"/>
      <c r="I743" s="133"/>
    </row>
    <row r="744" spans="1:9" x14ac:dyDescent="0.25">
      <c r="A744" s="135"/>
      <c r="B744" s="136"/>
      <c r="C744" s="136"/>
      <c r="D744" s="136"/>
      <c r="E744" s="136"/>
      <c r="F744" s="137"/>
      <c r="G744" s="136"/>
      <c r="H744" s="135"/>
      <c r="I744" s="133"/>
    </row>
    <row r="745" spans="1:9" x14ac:dyDescent="0.25">
      <c r="A745" s="135"/>
      <c r="B745" s="136"/>
      <c r="C745" s="136"/>
      <c r="D745" s="136"/>
      <c r="E745" s="136"/>
      <c r="F745" s="137"/>
      <c r="G745" s="136"/>
      <c r="H745" s="135"/>
      <c r="I745" s="133"/>
    </row>
    <row r="746" spans="1:9" x14ac:dyDescent="0.25">
      <c r="A746" s="135"/>
      <c r="B746" s="136"/>
      <c r="C746" s="136"/>
      <c r="D746" s="136"/>
      <c r="E746" s="136"/>
      <c r="F746" s="137"/>
      <c r="G746" s="136"/>
      <c r="H746" s="135"/>
      <c r="I746" s="133"/>
    </row>
    <row r="747" spans="1:9" x14ac:dyDescent="0.25">
      <c r="A747" s="135"/>
      <c r="B747" s="136"/>
      <c r="C747" s="136"/>
      <c r="D747" s="136"/>
      <c r="E747" s="136"/>
      <c r="F747" s="137"/>
      <c r="G747" s="136"/>
      <c r="H747" s="135"/>
      <c r="I747" s="133"/>
    </row>
    <row r="748" spans="1:9" x14ac:dyDescent="0.25">
      <c r="A748" s="135"/>
      <c r="B748" s="136"/>
      <c r="C748" s="136"/>
      <c r="D748" s="136"/>
      <c r="E748" s="136"/>
      <c r="F748" s="137"/>
      <c r="G748" s="136"/>
      <c r="H748" s="135"/>
      <c r="I748" s="133"/>
    </row>
    <row r="749" spans="1:9" x14ac:dyDescent="0.25">
      <c r="A749" s="135"/>
      <c r="B749" s="136"/>
      <c r="C749" s="136"/>
      <c r="D749" s="136"/>
      <c r="E749" s="136"/>
      <c r="F749" s="137"/>
      <c r="G749" s="136"/>
      <c r="H749" s="135"/>
      <c r="I749" s="133"/>
    </row>
    <row r="750" spans="1:9" x14ac:dyDescent="0.25">
      <c r="A750" s="135"/>
      <c r="B750" s="136"/>
      <c r="C750" s="136"/>
      <c r="D750" s="136"/>
      <c r="E750" s="136"/>
      <c r="F750" s="137"/>
      <c r="G750" s="136"/>
      <c r="H750" s="135"/>
      <c r="I750" s="133"/>
    </row>
    <row r="751" spans="1:9" x14ac:dyDescent="0.25">
      <c r="A751" s="135"/>
      <c r="B751" s="136"/>
      <c r="C751" s="136"/>
      <c r="D751" s="136"/>
      <c r="E751" s="136"/>
      <c r="F751" s="137"/>
      <c r="G751" s="136"/>
      <c r="H751" s="135"/>
      <c r="I751" s="133"/>
    </row>
    <row r="752" spans="1:9" x14ac:dyDescent="0.25">
      <c r="A752" s="135"/>
      <c r="B752" s="136"/>
      <c r="C752" s="136"/>
      <c r="D752" s="136"/>
      <c r="E752" s="136"/>
      <c r="F752" s="137"/>
      <c r="G752" s="136"/>
      <c r="H752" s="135"/>
      <c r="I752" s="133"/>
    </row>
    <row r="753" spans="1:9" x14ac:dyDescent="0.25">
      <c r="A753" s="135"/>
      <c r="B753" s="136"/>
      <c r="C753" s="136"/>
      <c r="D753" s="136"/>
      <c r="E753" s="136"/>
      <c r="F753" s="137"/>
      <c r="G753" s="136"/>
      <c r="H753" s="135"/>
      <c r="I753" s="133"/>
    </row>
    <row r="754" spans="1:9" x14ac:dyDescent="0.25">
      <c r="A754" s="135"/>
      <c r="B754" s="136"/>
      <c r="C754" s="136"/>
      <c r="D754" s="136"/>
      <c r="E754" s="136"/>
      <c r="F754" s="137"/>
      <c r="G754" s="136"/>
      <c r="H754" s="135"/>
      <c r="I754" s="133"/>
    </row>
    <row r="755" spans="1:9" x14ac:dyDescent="0.25">
      <c r="A755" s="135"/>
      <c r="B755" s="136"/>
      <c r="C755" s="136"/>
      <c r="D755" s="136"/>
      <c r="E755" s="136"/>
      <c r="F755" s="137"/>
      <c r="G755" s="136"/>
      <c r="H755" s="135"/>
      <c r="I755" s="133"/>
    </row>
    <row r="756" spans="1:9" x14ac:dyDescent="0.25">
      <c r="A756" s="135"/>
      <c r="B756" s="136"/>
      <c r="C756" s="136"/>
      <c r="D756" s="136"/>
      <c r="E756" s="136"/>
      <c r="F756" s="137"/>
      <c r="G756" s="136"/>
      <c r="H756" s="135"/>
      <c r="I756" s="133"/>
    </row>
    <row r="757" spans="1:9" x14ac:dyDescent="0.25">
      <c r="A757" s="135"/>
      <c r="B757" s="136"/>
      <c r="C757" s="136"/>
      <c r="D757" s="136"/>
      <c r="E757" s="136"/>
      <c r="F757" s="137"/>
      <c r="G757" s="136"/>
      <c r="H757" s="135"/>
      <c r="I757" s="133"/>
    </row>
    <row r="758" spans="1:9" x14ac:dyDescent="0.25">
      <c r="A758" s="135"/>
      <c r="B758" s="136"/>
      <c r="C758" s="136"/>
      <c r="D758" s="136"/>
      <c r="E758" s="136"/>
      <c r="F758" s="137"/>
      <c r="G758" s="136"/>
      <c r="H758" s="135"/>
      <c r="I758" s="133"/>
    </row>
    <row r="759" spans="1:9" x14ac:dyDescent="0.25">
      <c r="A759" s="135"/>
      <c r="B759" s="136"/>
      <c r="C759" s="136"/>
      <c r="D759" s="136"/>
      <c r="E759" s="136"/>
      <c r="F759" s="137"/>
      <c r="G759" s="136"/>
      <c r="H759" s="135"/>
      <c r="I759" s="133"/>
    </row>
    <row r="760" spans="1:9" x14ac:dyDescent="0.25">
      <c r="A760" s="135"/>
      <c r="B760" s="136"/>
      <c r="C760" s="136"/>
      <c r="D760" s="136"/>
      <c r="E760" s="136"/>
      <c r="F760" s="137"/>
      <c r="G760" s="136"/>
      <c r="H760" s="135"/>
      <c r="I760" s="133"/>
    </row>
    <row r="761" spans="1:9" x14ac:dyDescent="0.25">
      <c r="A761" s="135"/>
      <c r="B761" s="136"/>
      <c r="C761" s="136"/>
      <c r="D761" s="136"/>
      <c r="E761" s="136"/>
      <c r="F761" s="137"/>
      <c r="G761" s="136"/>
      <c r="H761" s="135"/>
      <c r="I761" s="133"/>
    </row>
    <row r="762" spans="1:9" x14ac:dyDescent="0.25">
      <c r="A762" s="135"/>
      <c r="B762" s="136"/>
      <c r="C762" s="136"/>
      <c r="D762" s="136"/>
      <c r="E762" s="136"/>
      <c r="F762" s="137"/>
      <c r="G762" s="136"/>
      <c r="H762" s="135"/>
      <c r="I762" s="133"/>
    </row>
    <row r="763" spans="1:9" x14ac:dyDescent="0.25">
      <c r="A763" s="135"/>
      <c r="B763" s="136"/>
      <c r="C763" s="136"/>
      <c r="D763" s="136"/>
      <c r="E763" s="136"/>
      <c r="F763" s="137"/>
      <c r="G763" s="136"/>
      <c r="H763" s="135"/>
      <c r="I763" s="133"/>
    </row>
    <row r="764" spans="1:9" x14ac:dyDescent="0.25">
      <c r="A764" s="135"/>
      <c r="B764" s="136"/>
      <c r="C764" s="136"/>
      <c r="D764" s="136"/>
      <c r="E764" s="136"/>
      <c r="F764" s="137"/>
      <c r="G764" s="136"/>
      <c r="H764" s="135"/>
      <c r="I764" s="133"/>
    </row>
    <row r="765" spans="1:9" x14ac:dyDescent="0.25">
      <c r="A765" s="135"/>
      <c r="B765" s="136"/>
      <c r="C765" s="136"/>
      <c r="D765" s="136"/>
      <c r="E765" s="136"/>
      <c r="F765" s="137"/>
      <c r="G765" s="136"/>
      <c r="H765" s="135"/>
      <c r="I765" s="133"/>
    </row>
    <row r="766" spans="1:9" x14ac:dyDescent="0.25">
      <c r="A766" s="135"/>
      <c r="B766" s="136"/>
      <c r="C766" s="136"/>
      <c r="D766" s="136"/>
      <c r="E766" s="136"/>
      <c r="F766" s="137"/>
      <c r="G766" s="136"/>
      <c r="H766" s="135"/>
      <c r="I766" s="133"/>
    </row>
    <row r="767" spans="1:9" x14ac:dyDescent="0.25">
      <c r="A767" s="135"/>
      <c r="B767" s="136"/>
      <c r="C767" s="136"/>
      <c r="D767" s="136"/>
      <c r="E767" s="136"/>
      <c r="F767" s="137"/>
      <c r="G767" s="136"/>
      <c r="H767" s="135"/>
      <c r="I767" s="133"/>
    </row>
    <row r="768" spans="1:9" x14ac:dyDescent="0.25">
      <c r="A768" s="135"/>
      <c r="B768" s="136"/>
      <c r="C768" s="136"/>
      <c r="D768" s="136"/>
      <c r="E768" s="136"/>
      <c r="F768" s="137"/>
      <c r="G768" s="136"/>
      <c r="H768" s="135"/>
      <c r="I768" s="133"/>
    </row>
    <row r="769" spans="1:9" x14ac:dyDescent="0.25">
      <c r="A769" s="135"/>
      <c r="B769" s="136"/>
      <c r="C769" s="136"/>
      <c r="D769" s="136"/>
      <c r="E769" s="136"/>
      <c r="F769" s="137"/>
      <c r="G769" s="136"/>
      <c r="H769" s="135"/>
      <c r="I769" s="133"/>
    </row>
    <row r="770" spans="1:9" x14ac:dyDescent="0.25">
      <c r="A770" s="135"/>
      <c r="B770" s="136"/>
      <c r="C770" s="136"/>
      <c r="D770" s="136"/>
      <c r="E770" s="136"/>
      <c r="F770" s="137"/>
      <c r="G770" s="136"/>
      <c r="H770" s="135"/>
      <c r="I770" s="133"/>
    </row>
    <row r="771" spans="1:9" x14ac:dyDescent="0.25">
      <c r="A771" s="135"/>
      <c r="B771" s="136"/>
      <c r="C771" s="136"/>
      <c r="D771" s="136"/>
      <c r="E771" s="136"/>
      <c r="F771" s="137"/>
      <c r="G771" s="136"/>
      <c r="H771" s="135"/>
      <c r="I771" s="133"/>
    </row>
    <row r="772" spans="1:9" x14ac:dyDescent="0.25">
      <c r="A772" s="135"/>
      <c r="B772" s="136"/>
      <c r="C772" s="136"/>
      <c r="D772" s="136"/>
      <c r="E772" s="136"/>
      <c r="F772" s="137"/>
      <c r="G772" s="136"/>
      <c r="H772" s="135"/>
      <c r="I772" s="133"/>
    </row>
    <row r="773" spans="1:9" x14ac:dyDescent="0.25">
      <c r="A773" s="135"/>
      <c r="B773" s="136"/>
      <c r="C773" s="136"/>
      <c r="D773" s="136"/>
      <c r="E773" s="136"/>
      <c r="F773" s="137"/>
      <c r="G773" s="136"/>
      <c r="H773" s="135"/>
      <c r="I773" s="133"/>
    </row>
    <row r="774" spans="1:9" x14ac:dyDescent="0.25">
      <c r="A774" s="135"/>
      <c r="B774" s="136"/>
      <c r="C774" s="136"/>
      <c r="D774" s="136"/>
      <c r="E774" s="136"/>
      <c r="F774" s="137"/>
      <c r="G774" s="136"/>
      <c r="H774" s="135"/>
      <c r="I774" s="133"/>
    </row>
    <row r="775" spans="1:9" x14ac:dyDescent="0.25">
      <c r="A775" s="135"/>
      <c r="B775" s="136"/>
      <c r="C775" s="136"/>
      <c r="D775" s="136"/>
      <c r="E775" s="136"/>
      <c r="F775" s="137"/>
      <c r="G775" s="136"/>
      <c r="H775" s="135"/>
      <c r="I775" s="133"/>
    </row>
    <row r="776" spans="1:9" x14ac:dyDescent="0.25">
      <c r="A776" s="135"/>
      <c r="B776" s="136"/>
      <c r="C776" s="136"/>
      <c r="D776" s="136"/>
      <c r="E776" s="136"/>
      <c r="F776" s="137"/>
      <c r="G776" s="136"/>
      <c r="H776" s="135"/>
      <c r="I776" s="133"/>
    </row>
    <row r="777" spans="1:9" x14ac:dyDescent="0.25">
      <c r="A777" s="135"/>
      <c r="B777" s="136"/>
      <c r="C777" s="136"/>
      <c r="D777" s="136"/>
      <c r="E777" s="136"/>
      <c r="F777" s="137"/>
      <c r="G777" s="136"/>
      <c r="H777" s="135"/>
      <c r="I777" s="133"/>
    </row>
    <row r="778" spans="1:9" x14ac:dyDescent="0.25">
      <c r="A778" s="135"/>
      <c r="B778" s="136"/>
      <c r="C778" s="136"/>
      <c r="D778" s="136"/>
      <c r="E778" s="136"/>
      <c r="F778" s="137"/>
      <c r="G778" s="136"/>
      <c r="H778" s="135"/>
      <c r="I778" s="133"/>
    </row>
    <row r="779" spans="1:9" x14ac:dyDescent="0.25">
      <c r="A779" s="135"/>
      <c r="B779" s="136"/>
      <c r="C779" s="136"/>
      <c r="D779" s="136"/>
      <c r="E779" s="136"/>
      <c r="F779" s="137"/>
      <c r="G779" s="136"/>
      <c r="H779" s="135"/>
      <c r="I779" s="133"/>
    </row>
    <row r="780" spans="1:9" x14ac:dyDescent="0.25">
      <c r="A780" s="135"/>
      <c r="B780" s="136"/>
      <c r="C780" s="136"/>
      <c r="D780" s="136"/>
      <c r="E780" s="136"/>
      <c r="F780" s="137"/>
      <c r="G780" s="136"/>
      <c r="H780" s="135"/>
      <c r="I780" s="133"/>
    </row>
    <row r="781" spans="1:9" x14ac:dyDescent="0.25">
      <c r="A781" s="135"/>
      <c r="B781" s="136"/>
      <c r="C781" s="136"/>
      <c r="D781" s="136"/>
      <c r="E781" s="136"/>
      <c r="F781" s="137"/>
      <c r="G781" s="136"/>
      <c r="H781" s="135"/>
      <c r="I781" s="133"/>
    </row>
    <row r="782" spans="1:9" x14ac:dyDescent="0.25">
      <c r="A782" s="135"/>
      <c r="B782" s="136"/>
      <c r="C782" s="136"/>
      <c r="D782" s="136"/>
      <c r="E782" s="136"/>
      <c r="F782" s="137"/>
      <c r="G782" s="136"/>
      <c r="H782" s="135"/>
      <c r="I782" s="133"/>
    </row>
    <row r="783" spans="1:9" x14ac:dyDescent="0.25">
      <c r="A783" s="135"/>
      <c r="B783" s="136"/>
      <c r="C783" s="136"/>
      <c r="D783" s="136"/>
      <c r="E783" s="136"/>
      <c r="F783" s="137"/>
      <c r="G783" s="136"/>
      <c r="H783" s="135"/>
      <c r="I783" s="133"/>
    </row>
    <row r="784" spans="1:9" x14ac:dyDescent="0.25">
      <c r="A784" s="135"/>
      <c r="B784" s="136"/>
      <c r="C784" s="136"/>
      <c r="D784" s="136"/>
      <c r="E784" s="136"/>
      <c r="F784" s="137"/>
      <c r="G784" s="136"/>
      <c r="H784" s="135"/>
      <c r="I784" s="133"/>
    </row>
    <row r="785" spans="1:9" x14ac:dyDescent="0.25">
      <c r="A785" s="135"/>
      <c r="B785" s="136"/>
      <c r="C785" s="136"/>
      <c r="D785" s="136"/>
      <c r="E785" s="136"/>
      <c r="F785" s="137"/>
      <c r="G785" s="136"/>
      <c r="H785" s="135"/>
      <c r="I785" s="133"/>
    </row>
    <row r="786" spans="1:9" x14ac:dyDescent="0.25">
      <c r="A786" s="135"/>
      <c r="B786" s="136"/>
      <c r="C786" s="136"/>
      <c r="D786" s="136"/>
      <c r="E786" s="136"/>
      <c r="F786" s="137"/>
      <c r="G786" s="136"/>
      <c r="H786" s="135"/>
      <c r="I786" s="133"/>
    </row>
    <row r="787" spans="1:9" x14ac:dyDescent="0.25">
      <c r="A787" s="135"/>
      <c r="B787" s="136"/>
      <c r="C787" s="136"/>
      <c r="D787" s="136"/>
      <c r="E787" s="136"/>
      <c r="F787" s="137"/>
      <c r="G787" s="136"/>
      <c r="H787" s="135"/>
      <c r="I787" s="133"/>
    </row>
    <row r="788" spans="1:9" x14ac:dyDescent="0.25">
      <c r="A788" s="135"/>
      <c r="B788" s="136"/>
      <c r="C788" s="136"/>
      <c r="D788" s="136"/>
      <c r="E788" s="136"/>
      <c r="F788" s="137"/>
      <c r="G788" s="136"/>
      <c r="H788" s="135"/>
      <c r="I788" s="133"/>
    </row>
    <row r="789" spans="1:9" x14ac:dyDescent="0.25">
      <c r="A789" s="135"/>
      <c r="B789" s="136"/>
      <c r="C789" s="136"/>
      <c r="D789" s="136"/>
      <c r="E789" s="136"/>
      <c r="F789" s="137"/>
      <c r="G789" s="136"/>
      <c r="H789" s="135"/>
      <c r="I789" s="133"/>
    </row>
    <row r="790" spans="1:9" x14ac:dyDescent="0.25">
      <c r="A790" s="135"/>
      <c r="B790" s="136"/>
      <c r="C790" s="136"/>
      <c r="D790" s="136"/>
      <c r="E790" s="136"/>
      <c r="F790" s="137"/>
      <c r="G790" s="136"/>
      <c r="H790" s="135"/>
      <c r="I790" s="133"/>
    </row>
    <row r="791" spans="1:9" x14ac:dyDescent="0.25">
      <c r="A791" s="135"/>
      <c r="B791" s="136"/>
      <c r="C791" s="136"/>
      <c r="D791" s="136"/>
      <c r="E791" s="136"/>
      <c r="F791" s="137"/>
      <c r="G791" s="136"/>
      <c r="H791" s="135"/>
      <c r="I791" s="133"/>
    </row>
    <row r="792" spans="1:9" x14ac:dyDescent="0.25">
      <c r="A792" s="135"/>
      <c r="B792" s="136"/>
      <c r="C792" s="136"/>
      <c r="D792" s="136"/>
      <c r="E792" s="136"/>
      <c r="F792" s="137"/>
      <c r="G792" s="136"/>
      <c r="H792" s="135"/>
      <c r="I792" s="133"/>
    </row>
    <row r="793" spans="1:9" x14ac:dyDescent="0.25">
      <c r="A793" s="135"/>
      <c r="B793" s="136"/>
      <c r="C793" s="136"/>
      <c r="D793" s="136"/>
      <c r="E793" s="136"/>
      <c r="F793" s="137"/>
      <c r="G793" s="136"/>
      <c r="H793" s="135"/>
      <c r="I793" s="133"/>
    </row>
    <row r="794" spans="1:9" x14ac:dyDescent="0.25">
      <c r="A794" s="135"/>
      <c r="B794" s="136"/>
      <c r="C794" s="136"/>
      <c r="D794" s="136"/>
      <c r="E794" s="136"/>
      <c r="F794" s="137"/>
      <c r="G794" s="136"/>
      <c r="H794" s="135"/>
      <c r="I794" s="133"/>
    </row>
    <row r="795" spans="1:9" x14ac:dyDescent="0.25">
      <c r="A795" s="135"/>
      <c r="B795" s="136"/>
      <c r="C795" s="136"/>
      <c r="D795" s="136"/>
      <c r="E795" s="136"/>
      <c r="F795" s="137"/>
      <c r="G795" s="136"/>
      <c r="H795" s="135"/>
      <c r="I795" s="133"/>
    </row>
    <row r="796" spans="1:9" x14ac:dyDescent="0.25">
      <c r="A796" s="135"/>
      <c r="B796" s="136"/>
      <c r="C796" s="136"/>
      <c r="D796" s="136"/>
      <c r="E796" s="136"/>
      <c r="F796" s="137"/>
      <c r="G796" s="136"/>
      <c r="H796" s="135"/>
      <c r="I796" s="133"/>
    </row>
    <row r="797" spans="1:9" x14ac:dyDescent="0.25">
      <c r="A797" s="135"/>
      <c r="B797" s="136"/>
      <c r="C797" s="136"/>
      <c r="D797" s="136"/>
      <c r="E797" s="136"/>
      <c r="F797" s="137"/>
      <c r="G797" s="136"/>
      <c r="H797" s="135"/>
      <c r="I797" s="133"/>
    </row>
    <row r="798" spans="1:9" x14ac:dyDescent="0.25">
      <c r="A798" s="135"/>
      <c r="B798" s="136"/>
      <c r="C798" s="136"/>
      <c r="D798" s="136"/>
      <c r="E798" s="136"/>
      <c r="F798" s="137"/>
      <c r="G798" s="136"/>
      <c r="H798" s="135"/>
      <c r="I798" s="133"/>
    </row>
    <row r="799" spans="1:9" x14ac:dyDescent="0.25">
      <c r="A799" s="135"/>
      <c r="B799" s="136"/>
      <c r="C799" s="136"/>
      <c r="D799" s="136"/>
      <c r="E799" s="136"/>
      <c r="F799" s="137"/>
      <c r="G799" s="136"/>
      <c r="H799" s="135"/>
      <c r="I799" s="133"/>
    </row>
    <row r="800" spans="1:9" x14ac:dyDescent="0.25">
      <c r="A800" s="135"/>
      <c r="B800" s="136"/>
      <c r="C800" s="136"/>
      <c r="D800" s="136"/>
      <c r="E800" s="136"/>
      <c r="F800" s="137"/>
      <c r="G800" s="136"/>
      <c r="H800" s="135"/>
      <c r="I800" s="133"/>
    </row>
    <row r="801" spans="1:9" x14ac:dyDescent="0.25">
      <c r="A801" s="135"/>
      <c r="B801" s="136"/>
      <c r="C801" s="136"/>
      <c r="D801" s="136"/>
      <c r="E801" s="136"/>
      <c r="F801" s="137"/>
      <c r="G801" s="136"/>
      <c r="H801" s="135"/>
      <c r="I801" s="133"/>
    </row>
    <row r="802" spans="1:9" x14ac:dyDescent="0.25">
      <c r="A802" s="135"/>
      <c r="B802" s="136"/>
      <c r="C802" s="136"/>
      <c r="D802" s="136"/>
      <c r="E802" s="136"/>
      <c r="F802" s="137"/>
      <c r="G802" s="136"/>
      <c r="H802" s="135"/>
      <c r="I802" s="133"/>
    </row>
    <row r="803" spans="1:9" x14ac:dyDescent="0.25">
      <c r="A803" s="135"/>
      <c r="B803" s="136"/>
      <c r="C803" s="136"/>
      <c r="D803" s="136"/>
      <c r="E803" s="136"/>
      <c r="F803" s="137"/>
      <c r="G803" s="136"/>
      <c r="H803" s="135"/>
      <c r="I803" s="133"/>
    </row>
    <row r="804" spans="1:9" x14ac:dyDescent="0.25">
      <c r="A804" s="135"/>
      <c r="B804" s="136"/>
      <c r="C804" s="136"/>
      <c r="D804" s="136"/>
      <c r="E804" s="136"/>
      <c r="F804" s="137"/>
      <c r="G804" s="136"/>
      <c r="H804" s="135"/>
      <c r="I804" s="133"/>
    </row>
    <row r="805" spans="1:9" x14ac:dyDescent="0.25">
      <c r="A805" s="135"/>
      <c r="B805" s="136"/>
      <c r="C805" s="136"/>
      <c r="D805" s="136"/>
      <c r="E805" s="136"/>
      <c r="F805" s="137"/>
      <c r="G805" s="136"/>
      <c r="H805" s="135"/>
      <c r="I805" s="133"/>
    </row>
    <row r="806" spans="1:9" x14ac:dyDescent="0.25">
      <c r="A806" s="135"/>
      <c r="B806" s="136"/>
      <c r="C806" s="136"/>
      <c r="D806" s="136"/>
      <c r="E806" s="136"/>
      <c r="F806" s="137"/>
      <c r="G806" s="136"/>
      <c r="H806" s="135"/>
      <c r="I806" s="133"/>
    </row>
    <row r="807" spans="1:9" x14ac:dyDescent="0.25">
      <c r="A807" s="135"/>
      <c r="B807" s="136"/>
      <c r="C807" s="136"/>
      <c r="D807" s="136"/>
      <c r="E807" s="136"/>
      <c r="F807" s="137"/>
      <c r="G807" s="136"/>
      <c r="H807" s="135"/>
      <c r="I807" s="133"/>
    </row>
    <row r="808" spans="1:9" x14ac:dyDescent="0.25">
      <c r="A808" s="135"/>
      <c r="B808" s="136"/>
      <c r="C808" s="136"/>
      <c r="D808" s="136"/>
      <c r="E808" s="136"/>
      <c r="F808" s="137"/>
      <c r="G808" s="136"/>
      <c r="H808" s="135"/>
      <c r="I808" s="133"/>
    </row>
    <row r="809" spans="1:9" x14ac:dyDescent="0.25">
      <c r="A809" s="135"/>
      <c r="B809" s="136"/>
      <c r="C809" s="136"/>
      <c r="D809" s="136"/>
      <c r="E809" s="136"/>
      <c r="F809" s="137"/>
      <c r="G809" s="136"/>
      <c r="H809" s="135"/>
      <c r="I809" s="133"/>
    </row>
    <row r="810" spans="1:9" x14ac:dyDescent="0.25">
      <c r="A810" s="135"/>
      <c r="B810" s="136"/>
      <c r="C810" s="136"/>
      <c r="D810" s="136"/>
      <c r="E810" s="136"/>
      <c r="F810" s="137"/>
      <c r="G810" s="136"/>
      <c r="H810" s="135"/>
      <c r="I810" s="133"/>
    </row>
    <row r="811" spans="1:9" x14ac:dyDescent="0.25">
      <c r="A811" s="135"/>
      <c r="B811" s="136"/>
      <c r="C811" s="136"/>
      <c r="D811" s="136"/>
      <c r="E811" s="136"/>
      <c r="F811" s="137"/>
      <c r="G811" s="136"/>
      <c r="H811" s="135"/>
      <c r="I811" s="133"/>
    </row>
    <row r="812" spans="1:9" x14ac:dyDescent="0.25">
      <c r="A812" s="135"/>
      <c r="B812" s="136"/>
      <c r="C812" s="136"/>
      <c r="D812" s="136"/>
      <c r="E812" s="136"/>
      <c r="F812" s="137"/>
      <c r="G812" s="136"/>
      <c r="H812" s="135"/>
      <c r="I812" s="133"/>
    </row>
    <row r="813" spans="1:9" x14ac:dyDescent="0.25">
      <c r="A813" s="135"/>
      <c r="B813" s="136"/>
      <c r="C813" s="136"/>
      <c r="D813" s="136"/>
      <c r="E813" s="136"/>
      <c r="F813" s="137"/>
      <c r="G813" s="136"/>
      <c r="H813" s="135"/>
      <c r="I813" s="133"/>
    </row>
    <row r="814" spans="1:9" x14ac:dyDescent="0.25">
      <c r="A814" s="135"/>
      <c r="B814" s="136"/>
      <c r="C814" s="136"/>
      <c r="D814" s="136"/>
      <c r="E814" s="136"/>
      <c r="F814" s="137"/>
      <c r="G814" s="136"/>
      <c r="H814" s="135"/>
      <c r="I814" s="133"/>
    </row>
    <row r="815" spans="1:9" x14ac:dyDescent="0.25">
      <c r="A815" s="135"/>
      <c r="B815" s="136"/>
      <c r="C815" s="136"/>
      <c r="D815" s="136"/>
      <c r="E815" s="136"/>
      <c r="F815" s="137"/>
      <c r="G815" s="136"/>
      <c r="H815" s="135"/>
      <c r="I815" s="133"/>
    </row>
    <row r="816" spans="1:9" x14ac:dyDescent="0.25">
      <c r="A816" s="135"/>
      <c r="B816" s="136"/>
      <c r="C816" s="136"/>
      <c r="D816" s="136"/>
      <c r="E816" s="136"/>
      <c r="F816" s="137"/>
      <c r="G816" s="136"/>
      <c r="H816" s="135"/>
      <c r="I816" s="133"/>
    </row>
    <row r="817" spans="1:9" x14ac:dyDescent="0.25">
      <c r="A817" s="135"/>
      <c r="B817" s="136"/>
      <c r="C817" s="136"/>
      <c r="D817" s="136"/>
      <c r="E817" s="136"/>
      <c r="F817" s="137"/>
      <c r="G817" s="136"/>
      <c r="H817" s="135"/>
      <c r="I817" s="133"/>
    </row>
    <row r="818" spans="1:9" x14ac:dyDescent="0.25">
      <c r="A818" s="135"/>
      <c r="B818" s="136"/>
      <c r="C818" s="136"/>
      <c r="D818" s="136"/>
      <c r="E818" s="136"/>
      <c r="F818" s="137"/>
      <c r="G818" s="136"/>
      <c r="H818" s="135"/>
      <c r="I818" s="133"/>
    </row>
    <row r="819" spans="1:9" x14ac:dyDescent="0.25">
      <c r="A819" s="135"/>
      <c r="B819" s="136"/>
      <c r="C819" s="136"/>
      <c r="D819" s="136"/>
      <c r="E819" s="136"/>
      <c r="F819" s="137"/>
      <c r="G819" s="136"/>
      <c r="H819" s="135"/>
      <c r="I819" s="133"/>
    </row>
    <row r="820" spans="1:9" x14ac:dyDescent="0.25">
      <c r="A820" s="135"/>
      <c r="B820" s="136"/>
      <c r="C820" s="136"/>
      <c r="D820" s="136"/>
      <c r="E820" s="136"/>
      <c r="F820" s="137"/>
      <c r="G820" s="136"/>
      <c r="H820" s="135"/>
      <c r="I820" s="133"/>
    </row>
    <row r="821" spans="1:9" x14ac:dyDescent="0.25">
      <c r="A821" s="135"/>
      <c r="B821" s="136"/>
      <c r="C821" s="136"/>
      <c r="D821" s="136"/>
      <c r="E821" s="136"/>
      <c r="F821" s="137"/>
      <c r="G821" s="136"/>
      <c r="H821" s="135"/>
      <c r="I821" s="133"/>
    </row>
    <row r="822" spans="1:9" x14ac:dyDescent="0.25">
      <c r="A822" s="135"/>
      <c r="B822" s="136"/>
      <c r="C822" s="136"/>
      <c r="D822" s="136"/>
      <c r="E822" s="136"/>
      <c r="F822" s="137"/>
      <c r="G822" s="136"/>
      <c r="H822" s="135"/>
      <c r="I822" s="133"/>
    </row>
    <row r="823" spans="1:9" x14ac:dyDescent="0.25">
      <c r="A823" s="135"/>
      <c r="B823" s="136"/>
      <c r="C823" s="136"/>
      <c r="D823" s="136"/>
      <c r="E823" s="136"/>
      <c r="F823" s="137"/>
      <c r="G823" s="136"/>
      <c r="H823" s="135"/>
      <c r="I823" s="133"/>
    </row>
    <row r="824" spans="1:9" x14ac:dyDescent="0.25">
      <c r="A824" s="135"/>
      <c r="B824" s="136"/>
      <c r="C824" s="136"/>
      <c r="D824" s="136"/>
      <c r="E824" s="136"/>
      <c r="F824" s="137"/>
      <c r="G824" s="136"/>
      <c r="H824" s="135"/>
      <c r="I824" s="133"/>
    </row>
    <row r="825" spans="1:9" x14ac:dyDescent="0.25">
      <c r="A825" s="135"/>
      <c r="B825" s="136"/>
      <c r="C825" s="136"/>
      <c r="D825" s="136"/>
      <c r="E825" s="136"/>
      <c r="F825" s="137"/>
      <c r="G825" s="136"/>
      <c r="H825" s="135"/>
      <c r="I825" s="133"/>
    </row>
    <row r="826" spans="1:9" x14ac:dyDescent="0.25">
      <c r="A826" s="135"/>
      <c r="B826" s="136"/>
      <c r="C826" s="136"/>
      <c r="D826" s="136"/>
      <c r="E826" s="136"/>
      <c r="F826" s="137"/>
      <c r="G826" s="136"/>
      <c r="H826" s="135"/>
      <c r="I826" s="133"/>
    </row>
    <row r="827" spans="1:9" x14ac:dyDescent="0.25">
      <c r="A827" s="135"/>
      <c r="B827" s="136"/>
      <c r="C827" s="136"/>
      <c r="D827" s="136"/>
      <c r="E827" s="136"/>
      <c r="F827" s="137"/>
      <c r="G827" s="136"/>
      <c r="H827" s="135"/>
      <c r="I827" s="133"/>
    </row>
    <row r="828" spans="1:9" x14ac:dyDescent="0.25">
      <c r="A828" s="135"/>
      <c r="B828" s="136"/>
      <c r="C828" s="136"/>
      <c r="D828" s="136"/>
      <c r="E828" s="136"/>
      <c r="F828" s="137"/>
      <c r="G828" s="136"/>
      <c r="H828" s="135"/>
      <c r="I828" s="133"/>
    </row>
    <row r="829" spans="1:9" x14ac:dyDescent="0.25">
      <c r="A829" s="135"/>
      <c r="B829" s="136"/>
      <c r="C829" s="136"/>
      <c r="D829" s="136"/>
      <c r="E829" s="136"/>
      <c r="F829" s="137"/>
      <c r="G829" s="136"/>
      <c r="H829" s="135"/>
      <c r="I829" s="133"/>
    </row>
    <row r="830" spans="1:9" x14ac:dyDescent="0.25">
      <c r="A830" s="135"/>
      <c r="B830" s="136"/>
      <c r="C830" s="136"/>
      <c r="D830" s="136"/>
      <c r="E830" s="136"/>
      <c r="F830" s="137"/>
      <c r="G830" s="136"/>
      <c r="H830" s="135"/>
      <c r="I830" s="133"/>
    </row>
    <row r="831" spans="1:9" x14ac:dyDescent="0.25">
      <c r="A831" s="135"/>
      <c r="B831" s="136"/>
      <c r="C831" s="136"/>
      <c r="D831" s="136"/>
      <c r="E831" s="136"/>
      <c r="F831" s="137"/>
      <c r="G831" s="136"/>
      <c r="H831" s="135"/>
      <c r="I831" s="133"/>
    </row>
    <row r="832" spans="1:9" x14ac:dyDescent="0.25">
      <c r="A832" s="135"/>
      <c r="B832" s="136"/>
      <c r="C832" s="136"/>
      <c r="D832" s="136"/>
      <c r="E832" s="136"/>
      <c r="F832" s="137"/>
      <c r="G832" s="136"/>
      <c r="H832" s="135"/>
      <c r="I832" s="133"/>
    </row>
    <row r="833" spans="1:9" x14ac:dyDescent="0.25">
      <c r="A833" s="135"/>
      <c r="B833" s="136"/>
      <c r="C833" s="136"/>
      <c r="D833" s="136"/>
      <c r="E833" s="136"/>
      <c r="F833" s="137"/>
      <c r="G833" s="136"/>
      <c r="H833" s="135"/>
      <c r="I833" s="133"/>
    </row>
    <row r="834" spans="1:9" x14ac:dyDescent="0.25">
      <c r="A834" s="135"/>
      <c r="B834" s="136"/>
      <c r="C834" s="136"/>
      <c r="D834" s="136"/>
      <c r="E834" s="136"/>
      <c r="F834" s="137"/>
      <c r="G834" s="136"/>
      <c r="H834" s="135"/>
      <c r="I834" s="133"/>
    </row>
    <row r="835" spans="1:9" x14ac:dyDescent="0.25">
      <c r="A835" s="135"/>
      <c r="B835" s="136"/>
      <c r="C835" s="136"/>
      <c r="D835" s="136"/>
      <c r="E835" s="136"/>
      <c r="F835" s="137"/>
      <c r="G835" s="136"/>
      <c r="H835" s="135"/>
      <c r="I835" s="133"/>
    </row>
    <row r="836" spans="1:9" x14ac:dyDescent="0.25">
      <c r="A836" s="135"/>
      <c r="B836" s="136"/>
      <c r="C836" s="136"/>
      <c r="D836" s="136"/>
      <c r="E836" s="136"/>
      <c r="F836" s="137"/>
      <c r="G836" s="136"/>
      <c r="H836" s="135"/>
      <c r="I836" s="133"/>
    </row>
    <row r="837" spans="1:9" x14ac:dyDescent="0.25">
      <c r="A837" s="135"/>
      <c r="B837" s="136"/>
      <c r="C837" s="136"/>
      <c r="D837" s="136"/>
      <c r="E837" s="136"/>
      <c r="F837" s="137"/>
      <c r="G837" s="136"/>
      <c r="H837" s="135"/>
      <c r="I837" s="133"/>
    </row>
    <row r="838" spans="1:9" x14ac:dyDescent="0.25">
      <c r="A838" s="135"/>
      <c r="B838" s="136"/>
      <c r="C838" s="136"/>
      <c r="D838" s="136"/>
      <c r="E838" s="136"/>
      <c r="F838" s="137"/>
      <c r="G838" s="136"/>
      <c r="H838" s="135"/>
      <c r="I838" s="133"/>
    </row>
    <row r="839" spans="1:9" x14ac:dyDescent="0.25">
      <c r="A839" s="135"/>
      <c r="B839" s="136"/>
      <c r="C839" s="136"/>
      <c r="D839" s="136"/>
      <c r="E839" s="136"/>
      <c r="F839" s="137"/>
      <c r="G839" s="136"/>
      <c r="H839" s="135"/>
      <c r="I839" s="133"/>
    </row>
    <row r="840" spans="1:9" x14ac:dyDescent="0.25">
      <c r="A840" s="135"/>
      <c r="B840" s="136"/>
      <c r="C840" s="136"/>
      <c r="D840" s="136"/>
      <c r="E840" s="136"/>
      <c r="F840" s="137"/>
      <c r="G840" s="136"/>
      <c r="H840" s="135"/>
      <c r="I840" s="133"/>
    </row>
    <row r="841" spans="1:9" x14ac:dyDescent="0.25">
      <c r="A841" s="135"/>
      <c r="B841" s="136"/>
      <c r="C841" s="136"/>
      <c r="D841" s="136"/>
      <c r="E841" s="136"/>
      <c r="F841" s="137"/>
      <c r="G841" s="136"/>
      <c r="H841" s="135"/>
      <c r="I841" s="133"/>
    </row>
    <row r="842" spans="1:9" x14ac:dyDescent="0.25">
      <c r="A842" s="135"/>
      <c r="B842" s="136"/>
      <c r="C842" s="136"/>
      <c r="D842" s="136"/>
      <c r="E842" s="136"/>
      <c r="F842" s="137"/>
      <c r="G842" s="136"/>
      <c r="H842" s="135"/>
      <c r="I842" s="133"/>
    </row>
    <row r="843" spans="1:9" x14ac:dyDescent="0.25">
      <c r="A843" s="135"/>
      <c r="B843" s="136"/>
      <c r="C843" s="136"/>
      <c r="D843" s="136"/>
      <c r="E843" s="136"/>
      <c r="F843" s="137"/>
      <c r="G843" s="136"/>
      <c r="H843" s="135"/>
      <c r="I843" s="133"/>
    </row>
    <row r="844" spans="1:9" x14ac:dyDescent="0.25">
      <c r="A844" s="135"/>
      <c r="B844" s="136"/>
      <c r="C844" s="136"/>
      <c r="D844" s="136"/>
      <c r="E844" s="136"/>
      <c r="F844" s="137"/>
      <c r="G844" s="136"/>
      <c r="H844" s="135"/>
      <c r="I844" s="133"/>
    </row>
    <row r="845" spans="1:9" x14ac:dyDescent="0.25">
      <c r="A845" s="135"/>
      <c r="B845" s="136"/>
      <c r="C845" s="136"/>
      <c r="D845" s="136"/>
      <c r="E845" s="136"/>
      <c r="F845" s="137"/>
      <c r="G845" s="136"/>
      <c r="H845" s="135"/>
      <c r="I845" s="133"/>
    </row>
    <row r="846" spans="1:9" x14ac:dyDescent="0.25">
      <c r="A846" s="135"/>
      <c r="B846" s="136"/>
      <c r="C846" s="136"/>
      <c r="D846" s="136"/>
      <c r="E846" s="136"/>
      <c r="F846" s="137"/>
      <c r="G846" s="136"/>
      <c r="H846" s="135"/>
      <c r="I846" s="133"/>
    </row>
    <row r="847" spans="1:9" x14ac:dyDescent="0.25">
      <c r="A847" s="135"/>
      <c r="B847" s="136"/>
      <c r="C847" s="136"/>
      <c r="D847" s="136"/>
      <c r="E847" s="136"/>
      <c r="F847" s="137"/>
      <c r="G847" s="136"/>
      <c r="H847" s="135"/>
      <c r="I847" s="133"/>
    </row>
    <row r="848" spans="1:9" x14ac:dyDescent="0.25">
      <c r="A848" s="135"/>
      <c r="B848" s="136"/>
      <c r="C848" s="136"/>
      <c r="D848" s="136"/>
      <c r="E848" s="136"/>
      <c r="F848" s="137"/>
      <c r="G848" s="136"/>
      <c r="H848" s="135"/>
      <c r="I848" s="133"/>
    </row>
    <row r="849" spans="1:9" x14ac:dyDescent="0.25">
      <c r="A849" s="135"/>
      <c r="B849" s="136"/>
      <c r="C849" s="136"/>
      <c r="D849" s="136"/>
      <c r="E849" s="136"/>
      <c r="F849" s="137"/>
      <c r="G849" s="136"/>
      <c r="H849" s="135"/>
      <c r="I849" s="133"/>
    </row>
    <row r="850" spans="1:9" x14ac:dyDescent="0.25">
      <c r="A850" s="135"/>
      <c r="B850" s="136"/>
      <c r="C850" s="136"/>
      <c r="D850" s="136"/>
      <c r="E850" s="136"/>
      <c r="F850" s="137"/>
      <c r="G850" s="136"/>
      <c r="H850" s="135"/>
      <c r="I850" s="133"/>
    </row>
    <row r="851" spans="1:9" x14ac:dyDescent="0.25">
      <c r="A851" s="135"/>
      <c r="B851" s="136"/>
      <c r="C851" s="136"/>
      <c r="D851" s="136"/>
      <c r="E851" s="136"/>
      <c r="F851" s="137"/>
      <c r="G851" s="136"/>
      <c r="H851" s="135"/>
      <c r="I851" s="133"/>
    </row>
    <row r="852" spans="1:9" x14ac:dyDescent="0.25">
      <c r="A852" s="135"/>
      <c r="B852" s="136"/>
      <c r="C852" s="136"/>
      <c r="D852" s="136"/>
      <c r="E852" s="136"/>
      <c r="F852" s="137"/>
      <c r="G852" s="136"/>
      <c r="H852" s="135"/>
      <c r="I852" s="133"/>
    </row>
    <row r="853" spans="1:9" x14ac:dyDescent="0.25">
      <c r="A853" s="135"/>
      <c r="B853" s="136"/>
      <c r="C853" s="136"/>
      <c r="D853" s="136"/>
      <c r="E853" s="136"/>
      <c r="F853" s="137"/>
      <c r="G853" s="136"/>
      <c r="H853" s="135"/>
      <c r="I853" s="133"/>
    </row>
    <row r="854" spans="1:9" x14ac:dyDescent="0.25">
      <c r="A854" s="135"/>
      <c r="B854" s="136"/>
      <c r="C854" s="136"/>
      <c r="D854" s="136"/>
      <c r="E854" s="136"/>
      <c r="F854" s="137"/>
      <c r="G854" s="136"/>
      <c r="H854" s="135"/>
      <c r="I854" s="133"/>
    </row>
    <row r="855" spans="1:9" x14ac:dyDescent="0.25">
      <c r="A855" s="135"/>
      <c r="B855" s="136"/>
      <c r="C855" s="136"/>
      <c r="D855" s="136"/>
      <c r="E855" s="136"/>
      <c r="F855" s="137"/>
      <c r="G855" s="136"/>
      <c r="H855" s="135"/>
      <c r="I855" s="133"/>
    </row>
    <row r="856" spans="1:9" x14ac:dyDescent="0.25">
      <c r="A856" s="135"/>
      <c r="B856" s="136"/>
      <c r="C856" s="136"/>
      <c r="D856" s="136"/>
      <c r="E856" s="136"/>
      <c r="F856" s="137"/>
      <c r="G856" s="136"/>
      <c r="H856" s="135"/>
      <c r="I856" s="133"/>
    </row>
    <row r="857" spans="1:9" x14ac:dyDescent="0.25">
      <c r="A857" s="135"/>
      <c r="B857" s="136"/>
      <c r="C857" s="136"/>
      <c r="D857" s="136"/>
      <c r="E857" s="136"/>
      <c r="F857" s="137"/>
      <c r="G857" s="136"/>
      <c r="H857" s="135"/>
      <c r="I857" s="133"/>
    </row>
    <row r="858" spans="1:9" x14ac:dyDescent="0.25">
      <c r="A858" s="135"/>
      <c r="B858" s="136"/>
      <c r="C858" s="136"/>
      <c r="D858" s="136"/>
      <c r="E858" s="136"/>
      <c r="F858" s="137"/>
      <c r="G858" s="136"/>
      <c r="H858" s="135"/>
      <c r="I858" s="133"/>
    </row>
    <row r="859" spans="1:9" x14ac:dyDescent="0.25">
      <c r="A859" s="135"/>
      <c r="B859" s="136"/>
      <c r="C859" s="136"/>
      <c r="D859" s="136"/>
      <c r="E859" s="136"/>
      <c r="F859" s="137"/>
      <c r="G859" s="136"/>
      <c r="H859" s="135"/>
      <c r="I859" s="133"/>
    </row>
    <row r="860" spans="1:9" x14ac:dyDescent="0.25">
      <c r="A860" s="135"/>
      <c r="B860" s="136"/>
      <c r="C860" s="136"/>
      <c r="D860" s="136"/>
      <c r="E860" s="136"/>
      <c r="F860" s="137"/>
      <c r="G860" s="136"/>
      <c r="H860" s="135"/>
      <c r="I860" s="133"/>
    </row>
    <row r="861" spans="1:9" x14ac:dyDescent="0.25">
      <c r="A861" s="135"/>
      <c r="B861" s="136"/>
      <c r="C861" s="136"/>
      <c r="D861" s="136"/>
      <c r="E861" s="136"/>
      <c r="F861" s="137"/>
      <c r="G861" s="136"/>
      <c r="H861" s="135"/>
      <c r="I861" s="133"/>
    </row>
    <row r="862" spans="1:9" x14ac:dyDescent="0.25">
      <c r="A862" s="135"/>
      <c r="B862" s="136"/>
      <c r="C862" s="136"/>
      <c r="D862" s="136"/>
      <c r="E862" s="136"/>
      <c r="F862" s="137"/>
      <c r="G862" s="136"/>
      <c r="H862" s="135"/>
      <c r="I862" s="133"/>
    </row>
    <row r="863" spans="1:9" x14ac:dyDescent="0.25">
      <c r="A863" s="135"/>
      <c r="B863" s="136"/>
      <c r="C863" s="136"/>
      <c r="D863" s="136"/>
      <c r="E863" s="136"/>
      <c r="F863" s="137"/>
      <c r="G863" s="136"/>
      <c r="H863" s="135"/>
      <c r="I863" s="133"/>
    </row>
    <row r="864" spans="1:9" x14ac:dyDescent="0.25">
      <c r="A864" s="135"/>
      <c r="B864" s="136"/>
      <c r="C864" s="136"/>
      <c r="D864" s="136"/>
      <c r="E864" s="136"/>
      <c r="F864" s="137"/>
      <c r="G864" s="136"/>
      <c r="H864" s="135"/>
      <c r="I864" s="133"/>
    </row>
    <row r="865" spans="1:9" x14ac:dyDescent="0.25">
      <c r="A865" s="135"/>
      <c r="B865" s="136"/>
      <c r="C865" s="136"/>
      <c r="D865" s="136"/>
      <c r="E865" s="136"/>
      <c r="F865" s="137"/>
      <c r="G865" s="136"/>
      <c r="H865" s="135"/>
      <c r="I865" s="133"/>
    </row>
    <row r="866" spans="1:9" x14ac:dyDescent="0.25">
      <c r="A866" s="135"/>
      <c r="B866" s="136"/>
      <c r="C866" s="136"/>
      <c r="D866" s="136"/>
      <c r="E866" s="136"/>
      <c r="F866" s="137"/>
      <c r="G866" s="136"/>
      <c r="H866" s="135"/>
      <c r="I866" s="133"/>
    </row>
    <row r="867" spans="1:9" x14ac:dyDescent="0.25">
      <c r="A867" s="135"/>
      <c r="B867" s="136"/>
      <c r="C867" s="136"/>
      <c r="D867" s="136"/>
      <c r="E867" s="136"/>
      <c r="F867" s="137"/>
      <c r="G867" s="136"/>
      <c r="H867" s="135"/>
      <c r="I867" s="133"/>
    </row>
    <row r="868" spans="1:9" x14ac:dyDescent="0.25">
      <c r="A868" s="135"/>
      <c r="B868" s="136"/>
      <c r="C868" s="136"/>
      <c r="D868" s="136"/>
      <c r="E868" s="136"/>
      <c r="F868" s="137"/>
      <c r="G868" s="136"/>
      <c r="H868" s="135"/>
      <c r="I868" s="133"/>
    </row>
    <row r="869" spans="1:9" x14ac:dyDescent="0.25">
      <c r="A869" s="135"/>
      <c r="B869" s="136"/>
      <c r="C869" s="136"/>
      <c r="D869" s="136"/>
      <c r="E869" s="136"/>
      <c r="F869" s="137"/>
      <c r="G869" s="136"/>
      <c r="H869" s="135"/>
      <c r="I869" s="133"/>
    </row>
    <row r="870" spans="1:9" x14ac:dyDescent="0.25">
      <c r="A870" s="135"/>
      <c r="B870" s="136"/>
      <c r="C870" s="136"/>
      <c r="D870" s="136"/>
      <c r="E870" s="136"/>
      <c r="F870" s="137"/>
      <c r="G870" s="136"/>
      <c r="H870" s="135"/>
      <c r="I870" s="133"/>
    </row>
    <row r="871" spans="1:9" x14ac:dyDescent="0.25">
      <c r="A871" s="135"/>
      <c r="B871" s="136"/>
      <c r="C871" s="136"/>
      <c r="D871" s="136"/>
      <c r="E871" s="136"/>
      <c r="F871" s="137"/>
      <c r="G871" s="136"/>
      <c r="H871" s="135"/>
      <c r="I871" s="133"/>
    </row>
    <row r="872" spans="1:9" x14ac:dyDescent="0.25">
      <c r="A872" s="135"/>
      <c r="B872" s="136"/>
      <c r="C872" s="136"/>
      <c r="D872" s="136"/>
      <c r="E872" s="136"/>
      <c r="F872" s="137"/>
      <c r="G872" s="136"/>
      <c r="H872" s="135"/>
      <c r="I872" s="133"/>
    </row>
    <row r="873" spans="1:9" x14ac:dyDescent="0.25">
      <c r="A873" s="135"/>
      <c r="B873" s="136"/>
      <c r="C873" s="136"/>
      <c r="D873" s="136"/>
      <c r="E873" s="136"/>
      <c r="F873" s="137"/>
      <c r="G873" s="136"/>
      <c r="H873" s="135"/>
      <c r="I873" s="133"/>
    </row>
    <row r="874" spans="1:9" x14ac:dyDescent="0.25">
      <c r="A874" s="135"/>
      <c r="B874" s="136"/>
      <c r="C874" s="136"/>
      <c r="D874" s="136"/>
      <c r="E874" s="136"/>
      <c r="F874" s="137"/>
      <c r="G874" s="136"/>
      <c r="H874" s="135"/>
      <c r="I874" s="133"/>
    </row>
    <row r="875" spans="1:9" x14ac:dyDescent="0.25">
      <c r="A875" s="135"/>
      <c r="B875" s="136"/>
      <c r="C875" s="136"/>
      <c r="D875" s="136"/>
      <c r="E875" s="136"/>
      <c r="F875" s="137"/>
      <c r="G875" s="136"/>
      <c r="H875" s="135"/>
      <c r="I875" s="133"/>
    </row>
    <row r="876" spans="1:9" x14ac:dyDescent="0.25">
      <c r="A876" s="135"/>
      <c r="B876" s="136"/>
      <c r="C876" s="136"/>
      <c r="D876" s="136"/>
      <c r="E876" s="136"/>
      <c r="F876" s="137"/>
      <c r="G876" s="136"/>
      <c r="H876" s="135"/>
      <c r="I876" s="133"/>
    </row>
    <row r="877" spans="1:9" x14ac:dyDescent="0.25">
      <c r="A877" s="135"/>
      <c r="B877" s="136"/>
      <c r="C877" s="136"/>
      <c r="D877" s="136"/>
      <c r="E877" s="136"/>
      <c r="F877" s="137"/>
      <c r="G877" s="136"/>
      <c r="H877" s="135"/>
      <c r="I877" s="133"/>
    </row>
    <row r="878" spans="1:9" x14ac:dyDescent="0.25">
      <c r="A878" s="135"/>
      <c r="B878" s="136"/>
      <c r="C878" s="136"/>
      <c r="D878" s="136"/>
      <c r="E878" s="136"/>
      <c r="F878" s="137"/>
      <c r="G878" s="136"/>
      <c r="H878" s="135"/>
      <c r="I878" s="133"/>
    </row>
    <row r="879" spans="1:9" x14ac:dyDescent="0.25">
      <c r="A879" s="135"/>
      <c r="B879" s="136"/>
      <c r="C879" s="136"/>
      <c r="D879" s="136"/>
      <c r="E879" s="136"/>
      <c r="F879" s="137"/>
      <c r="G879" s="136"/>
      <c r="H879" s="135"/>
      <c r="I879" s="133"/>
    </row>
    <row r="880" spans="1:9" x14ac:dyDescent="0.25">
      <c r="A880" s="135"/>
      <c r="B880" s="136"/>
      <c r="C880" s="136"/>
      <c r="D880" s="136"/>
      <c r="E880" s="136"/>
      <c r="F880" s="137"/>
      <c r="G880" s="136"/>
      <c r="H880" s="135"/>
      <c r="I880" s="133"/>
    </row>
    <row r="881" spans="1:9" x14ac:dyDescent="0.25">
      <c r="A881" s="135"/>
      <c r="B881" s="136"/>
      <c r="C881" s="136"/>
      <c r="D881" s="136"/>
      <c r="E881" s="136"/>
      <c r="F881" s="137"/>
      <c r="G881" s="136"/>
      <c r="H881" s="135"/>
      <c r="I881" s="133"/>
    </row>
    <row r="882" spans="1:9" x14ac:dyDescent="0.25">
      <c r="A882" s="135"/>
      <c r="B882" s="136"/>
      <c r="C882" s="136"/>
      <c r="D882" s="136"/>
      <c r="E882" s="136"/>
      <c r="F882" s="137"/>
      <c r="G882" s="136"/>
      <c r="H882" s="135"/>
      <c r="I882" s="133"/>
    </row>
    <row r="883" spans="1:9" x14ac:dyDescent="0.25">
      <c r="A883" s="135"/>
      <c r="B883" s="136"/>
      <c r="C883" s="136"/>
      <c r="D883" s="136"/>
      <c r="E883" s="136"/>
      <c r="F883" s="137"/>
      <c r="G883" s="136"/>
      <c r="H883" s="135"/>
      <c r="I883" s="133"/>
    </row>
    <row r="884" spans="1:9" x14ac:dyDescent="0.25">
      <c r="A884" s="135"/>
      <c r="B884" s="136"/>
      <c r="C884" s="136"/>
      <c r="D884" s="136"/>
      <c r="E884" s="136"/>
      <c r="F884" s="137"/>
      <c r="G884" s="136"/>
      <c r="H884" s="135"/>
      <c r="I884" s="133"/>
    </row>
    <row r="885" spans="1:9" x14ac:dyDescent="0.25">
      <c r="A885" s="135"/>
      <c r="B885" s="136"/>
      <c r="C885" s="136"/>
      <c r="D885" s="136"/>
      <c r="E885" s="136"/>
      <c r="F885" s="137"/>
      <c r="G885" s="136"/>
      <c r="H885" s="135"/>
      <c r="I885" s="133"/>
    </row>
    <row r="886" spans="1:9" x14ac:dyDescent="0.25">
      <c r="A886" s="135"/>
      <c r="B886" s="136"/>
      <c r="C886" s="136"/>
      <c r="D886" s="136"/>
      <c r="E886" s="136"/>
      <c r="F886" s="137"/>
      <c r="G886" s="136"/>
      <c r="H886" s="135"/>
      <c r="I886" s="133"/>
    </row>
    <row r="887" spans="1:9" x14ac:dyDescent="0.25">
      <c r="A887" s="135"/>
      <c r="B887" s="136"/>
      <c r="C887" s="136"/>
      <c r="D887" s="136"/>
      <c r="E887" s="136"/>
      <c r="F887" s="137"/>
      <c r="G887" s="136"/>
      <c r="H887" s="135"/>
      <c r="I887" s="133"/>
    </row>
    <row r="888" spans="1:9" x14ac:dyDescent="0.25">
      <c r="A888" s="135"/>
      <c r="B888" s="136"/>
      <c r="C888" s="136"/>
      <c r="D888" s="136"/>
      <c r="E888" s="136"/>
      <c r="F888" s="137"/>
      <c r="G888" s="136"/>
      <c r="H888" s="135"/>
      <c r="I888" s="133"/>
    </row>
    <row r="889" spans="1:9" x14ac:dyDescent="0.25">
      <c r="A889" s="135"/>
      <c r="B889" s="136"/>
      <c r="C889" s="136"/>
      <c r="D889" s="136"/>
      <c r="E889" s="136"/>
      <c r="F889" s="137"/>
      <c r="G889" s="136"/>
      <c r="H889" s="135"/>
      <c r="I889" s="133"/>
    </row>
    <row r="890" spans="1:9" x14ac:dyDescent="0.25">
      <c r="A890" s="135"/>
      <c r="B890" s="136"/>
      <c r="C890" s="136"/>
      <c r="D890" s="136"/>
      <c r="E890" s="136"/>
      <c r="F890" s="137"/>
      <c r="G890" s="136"/>
      <c r="H890" s="135"/>
      <c r="I890" s="133"/>
    </row>
    <row r="891" spans="1:9" x14ac:dyDescent="0.25">
      <c r="A891" s="135"/>
      <c r="B891" s="136"/>
      <c r="C891" s="136"/>
      <c r="D891" s="136"/>
      <c r="E891" s="136"/>
      <c r="F891" s="137"/>
      <c r="G891" s="136"/>
      <c r="H891" s="135"/>
      <c r="I891" s="133"/>
    </row>
    <row r="892" spans="1:9" x14ac:dyDescent="0.25">
      <c r="A892" s="135"/>
      <c r="B892" s="136"/>
      <c r="C892" s="136"/>
      <c r="D892" s="136"/>
      <c r="E892" s="136"/>
      <c r="F892" s="137"/>
      <c r="G892" s="136"/>
      <c r="H892" s="135"/>
      <c r="I892" s="133"/>
    </row>
    <row r="893" spans="1:9" x14ac:dyDescent="0.25">
      <c r="A893" s="135"/>
      <c r="B893" s="136"/>
      <c r="C893" s="136"/>
      <c r="D893" s="136"/>
      <c r="E893" s="136"/>
      <c r="F893" s="137"/>
      <c r="G893" s="136"/>
      <c r="H893" s="135"/>
      <c r="I893" s="133"/>
    </row>
    <row r="894" spans="1:9" x14ac:dyDescent="0.25">
      <c r="A894" s="135"/>
      <c r="B894" s="136"/>
      <c r="C894" s="136"/>
      <c r="D894" s="136"/>
      <c r="E894" s="136"/>
      <c r="F894" s="137"/>
      <c r="G894" s="136"/>
      <c r="H894" s="135"/>
      <c r="I894" s="133"/>
    </row>
    <row r="895" spans="1:9" x14ac:dyDescent="0.25">
      <c r="A895" s="135"/>
      <c r="B895" s="136"/>
      <c r="C895" s="136"/>
      <c r="D895" s="136"/>
      <c r="E895" s="136"/>
      <c r="F895" s="137"/>
      <c r="G895" s="136"/>
      <c r="H895" s="135"/>
      <c r="I895" s="133"/>
    </row>
    <row r="896" spans="1:9" x14ac:dyDescent="0.25">
      <c r="A896" s="135"/>
      <c r="B896" s="136"/>
      <c r="C896" s="136"/>
      <c r="D896" s="136"/>
      <c r="E896" s="136"/>
      <c r="F896" s="137"/>
      <c r="G896" s="136"/>
      <c r="H896" s="135"/>
      <c r="I896" s="133"/>
    </row>
    <row r="897" spans="1:9" x14ac:dyDescent="0.25">
      <c r="A897" s="135"/>
      <c r="B897" s="136"/>
      <c r="C897" s="136"/>
      <c r="D897" s="136"/>
      <c r="E897" s="136"/>
      <c r="F897" s="137"/>
      <c r="G897" s="136"/>
      <c r="H897" s="135"/>
      <c r="I897" s="133"/>
    </row>
    <row r="898" spans="1:9" x14ac:dyDescent="0.25">
      <c r="A898" s="135"/>
      <c r="B898" s="136"/>
      <c r="C898" s="136"/>
      <c r="D898" s="136"/>
      <c r="E898" s="136"/>
      <c r="F898" s="137"/>
      <c r="G898" s="136"/>
      <c r="H898" s="135"/>
      <c r="I898" s="133"/>
    </row>
    <row r="899" spans="1:9" x14ac:dyDescent="0.25">
      <c r="A899" s="135"/>
      <c r="B899" s="136"/>
      <c r="C899" s="136"/>
      <c r="D899" s="136"/>
      <c r="E899" s="136"/>
      <c r="F899" s="137"/>
      <c r="G899" s="136"/>
      <c r="H899" s="135"/>
      <c r="I899" s="133"/>
    </row>
    <row r="900" spans="1:9" x14ac:dyDescent="0.25">
      <c r="A900" s="135"/>
      <c r="B900" s="136"/>
      <c r="C900" s="136"/>
      <c r="D900" s="136"/>
      <c r="E900" s="136"/>
      <c r="F900" s="137"/>
      <c r="G900" s="136"/>
      <c r="H900" s="135"/>
      <c r="I900" s="133"/>
    </row>
    <row r="901" spans="1:9" x14ac:dyDescent="0.25">
      <c r="A901" s="135"/>
      <c r="B901" s="136"/>
      <c r="C901" s="136"/>
      <c r="D901" s="136"/>
      <c r="E901" s="136"/>
      <c r="F901" s="137"/>
      <c r="G901" s="136"/>
      <c r="H901" s="135"/>
      <c r="I901" s="133"/>
    </row>
    <row r="902" spans="1:9" x14ac:dyDescent="0.25">
      <c r="A902" s="135"/>
      <c r="B902" s="136"/>
      <c r="C902" s="136"/>
      <c r="D902" s="136"/>
      <c r="E902" s="136"/>
      <c r="F902" s="137"/>
      <c r="G902" s="136"/>
      <c r="H902" s="135"/>
      <c r="I902" s="133"/>
    </row>
    <row r="903" spans="1:9" x14ac:dyDescent="0.25">
      <c r="A903" s="135"/>
      <c r="B903" s="136"/>
      <c r="C903" s="136"/>
      <c r="D903" s="136"/>
      <c r="E903" s="136"/>
      <c r="F903" s="137"/>
      <c r="G903" s="136"/>
      <c r="H903" s="135"/>
      <c r="I903" s="133"/>
    </row>
    <row r="904" spans="1:9" x14ac:dyDescent="0.25">
      <c r="A904" s="135"/>
      <c r="B904" s="136"/>
      <c r="C904" s="136"/>
      <c r="D904" s="136"/>
      <c r="E904" s="136"/>
      <c r="F904" s="137"/>
      <c r="G904" s="136"/>
      <c r="H904" s="135"/>
      <c r="I904" s="133"/>
    </row>
    <row r="905" spans="1:9" x14ac:dyDescent="0.25">
      <c r="A905" s="135"/>
      <c r="B905" s="136"/>
      <c r="C905" s="136"/>
      <c r="D905" s="136"/>
      <c r="E905" s="136"/>
      <c r="F905" s="137"/>
      <c r="G905" s="136"/>
      <c r="H905" s="135"/>
      <c r="I905" s="133"/>
    </row>
    <row r="906" spans="1:9" x14ac:dyDescent="0.25">
      <c r="A906" s="135"/>
      <c r="B906" s="136"/>
      <c r="C906" s="136"/>
      <c r="D906" s="136"/>
      <c r="E906" s="136"/>
      <c r="F906" s="137"/>
      <c r="G906" s="136"/>
      <c r="H906" s="135"/>
      <c r="I906" s="133"/>
    </row>
    <row r="907" spans="1:9" x14ac:dyDescent="0.25">
      <c r="A907" s="135"/>
      <c r="B907" s="136"/>
      <c r="C907" s="136"/>
      <c r="D907" s="136"/>
      <c r="E907" s="136"/>
      <c r="F907" s="137"/>
      <c r="G907" s="136"/>
      <c r="H907" s="135"/>
      <c r="I907" s="133"/>
    </row>
    <row r="908" spans="1:9" x14ac:dyDescent="0.25">
      <c r="A908" s="135"/>
      <c r="B908" s="136"/>
      <c r="C908" s="136"/>
      <c r="D908" s="136"/>
      <c r="E908" s="136"/>
      <c r="F908" s="137"/>
      <c r="G908" s="136"/>
      <c r="H908" s="135"/>
      <c r="I908" s="133"/>
    </row>
    <row r="909" spans="1:9" x14ac:dyDescent="0.25">
      <c r="A909" s="135"/>
      <c r="B909" s="136"/>
      <c r="C909" s="136"/>
      <c r="D909" s="136"/>
      <c r="E909" s="136"/>
      <c r="F909" s="137"/>
      <c r="G909" s="136"/>
      <c r="H909" s="135"/>
      <c r="I909" s="133"/>
    </row>
    <row r="910" spans="1:9" x14ac:dyDescent="0.25">
      <c r="A910" s="135"/>
      <c r="B910" s="136"/>
      <c r="C910" s="136"/>
      <c r="D910" s="136"/>
      <c r="E910" s="136"/>
      <c r="F910" s="137"/>
      <c r="G910" s="136"/>
      <c r="H910" s="135"/>
      <c r="I910" s="133"/>
    </row>
    <row r="911" spans="1:9" x14ac:dyDescent="0.25">
      <c r="A911" s="135"/>
      <c r="B911" s="136"/>
      <c r="C911" s="136"/>
      <c r="D911" s="136"/>
      <c r="E911" s="136"/>
      <c r="F911" s="137"/>
      <c r="G911" s="136"/>
      <c r="H911" s="135"/>
      <c r="I911" s="133"/>
    </row>
    <row r="912" spans="1:9" x14ac:dyDescent="0.25">
      <c r="A912" s="135"/>
      <c r="B912" s="136"/>
      <c r="C912" s="136"/>
      <c r="D912" s="136"/>
      <c r="E912" s="136"/>
      <c r="F912" s="137"/>
      <c r="G912" s="136"/>
      <c r="H912" s="135"/>
      <c r="I912" s="133"/>
    </row>
    <row r="913" spans="1:9" x14ac:dyDescent="0.25">
      <c r="A913" s="135"/>
      <c r="B913" s="136"/>
      <c r="C913" s="136"/>
      <c r="D913" s="136"/>
      <c r="E913" s="136"/>
      <c r="F913" s="137"/>
      <c r="G913" s="136"/>
      <c r="H913" s="135"/>
      <c r="I913" s="133"/>
    </row>
    <row r="914" spans="1:9" x14ac:dyDescent="0.25">
      <c r="A914" s="135"/>
      <c r="B914" s="136"/>
      <c r="C914" s="136"/>
      <c r="D914" s="136"/>
      <c r="E914" s="136"/>
      <c r="F914" s="137"/>
      <c r="G914" s="136"/>
      <c r="H914" s="135"/>
      <c r="I914" s="133"/>
    </row>
    <row r="915" spans="1:9" x14ac:dyDescent="0.25">
      <c r="A915" s="135"/>
      <c r="B915" s="136"/>
      <c r="C915" s="136"/>
      <c r="D915" s="136"/>
      <c r="E915" s="136"/>
      <c r="F915" s="137"/>
      <c r="G915" s="136"/>
      <c r="H915" s="135"/>
      <c r="I915" s="133"/>
    </row>
    <row r="916" spans="1:9" x14ac:dyDescent="0.25">
      <c r="A916" s="135"/>
      <c r="B916" s="136"/>
      <c r="C916" s="136"/>
      <c r="D916" s="136"/>
      <c r="E916" s="136"/>
      <c r="F916" s="137"/>
      <c r="G916" s="136"/>
      <c r="H916" s="135"/>
      <c r="I916" s="133"/>
    </row>
    <row r="917" spans="1:9" x14ac:dyDescent="0.25">
      <c r="A917" s="135"/>
      <c r="B917" s="136"/>
      <c r="C917" s="136"/>
      <c r="D917" s="136"/>
      <c r="E917" s="136"/>
      <c r="F917" s="137"/>
      <c r="G917" s="136"/>
      <c r="H917" s="135"/>
      <c r="I917" s="133"/>
    </row>
    <row r="918" spans="1:9" x14ac:dyDescent="0.25">
      <c r="A918" s="135"/>
      <c r="B918" s="136"/>
      <c r="C918" s="136"/>
      <c r="D918" s="136"/>
      <c r="E918" s="136"/>
      <c r="F918" s="137"/>
      <c r="G918" s="136"/>
      <c r="H918" s="135"/>
      <c r="I918" s="133"/>
    </row>
    <row r="919" spans="1:9" x14ac:dyDescent="0.25">
      <c r="A919" s="135"/>
      <c r="B919" s="136"/>
      <c r="C919" s="136"/>
      <c r="D919" s="136"/>
      <c r="E919" s="136"/>
      <c r="F919" s="137"/>
      <c r="G919" s="136"/>
      <c r="H919" s="135"/>
      <c r="I919" s="133"/>
    </row>
    <row r="920" spans="1:9" x14ac:dyDescent="0.25">
      <c r="A920" s="135"/>
      <c r="B920" s="136"/>
      <c r="C920" s="136"/>
      <c r="D920" s="136"/>
      <c r="E920" s="136"/>
      <c r="F920" s="137"/>
      <c r="G920" s="136"/>
      <c r="H920" s="135"/>
      <c r="I920" s="133"/>
    </row>
    <row r="921" spans="1:9" x14ac:dyDescent="0.25">
      <c r="A921" s="135"/>
      <c r="B921" s="136"/>
      <c r="C921" s="136"/>
      <c r="D921" s="136"/>
      <c r="E921" s="136"/>
      <c r="F921" s="137"/>
      <c r="G921" s="136"/>
      <c r="H921" s="135"/>
      <c r="I921" s="133"/>
    </row>
    <row r="922" spans="1:9" x14ac:dyDescent="0.25">
      <c r="A922" s="135"/>
      <c r="B922" s="136"/>
      <c r="C922" s="136"/>
      <c r="D922" s="136"/>
      <c r="E922" s="136"/>
      <c r="F922" s="137"/>
      <c r="G922" s="136"/>
      <c r="H922" s="135"/>
      <c r="I922" s="133"/>
    </row>
    <row r="923" spans="1:9" x14ac:dyDescent="0.25">
      <c r="A923" s="135"/>
      <c r="B923" s="136"/>
      <c r="C923" s="136"/>
      <c r="D923" s="136"/>
      <c r="E923" s="136"/>
      <c r="F923" s="137"/>
      <c r="G923" s="136"/>
      <c r="H923" s="135"/>
      <c r="I923" s="133"/>
    </row>
    <row r="924" spans="1:9" x14ac:dyDescent="0.25">
      <c r="A924" s="135"/>
      <c r="B924" s="136"/>
      <c r="C924" s="136"/>
      <c r="D924" s="136"/>
      <c r="E924" s="136"/>
      <c r="F924" s="137"/>
      <c r="G924" s="136"/>
      <c r="H924" s="135"/>
      <c r="I924" s="133"/>
    </row>
    <row r="925" spans="1:9" x14ac:dyDescent="0.25">
      <c r="A925" s="135"/>
      <c r="B925" s="136"/>
      <c r="C925" s="136"/>
      <c r="D925" s="136"/>
      <c r="E925" s="136"/>
      <c r="F925" s="137"/>
      <c r="G925" s="136"/>
      <c r="H925" s="135"/>
      <c r="I925" s="133"/>
    </row>
    <row r="926" spans="1:9" x14ac:dyDescent="0.25">
      <c r="A926" s="135"/>
      <c r="B926" s="136"/>
      <c r="C926" s="136"/>
      <c r="D926" s="136"/>
      <c r="E926" s="136"/>
      <c r="F926" s="137"/>
      <c r="G926" s="136"/>
      <c r="H926" s="135"/>
      <c r="I926" s="133"/>
    </row>
    <row r="927" spans="1:9" x14ac:dyDescent="0.25">
      <c r="A927" s="135"/>
      <c r="B927" s="136"/>
      <c r="C927" s="136"/>
      <c r="D927" s="136"/>
      <c r="E927" s="136"/>
      <c r="F927" s="137"/>
      <c r="G927" s="136"/>
      <c r="H927" s="135"/>
      <c r="I927" s="133"/>
    </row>
    <row r="928" spans="1:9" x14ac:dyDescent="0.25">
      <c r="A928" s="135"/>
      <c r="B928" s="136"/>
      <c r="C928" s="136"/>
      <c r="D928" s="136"/>
      <c r="E928" s="136"/>
      <c r="F928" s="137"/>
      <c r="G928" s="136"/>
      <c r="H928" s="135"/>
      <c r="I928" s="133"/>
    </row>
    <row r="929" spans="1:9" x14ac:dyDescent="0.25">
      <c r="A929" s="135"/>
      <c r="B929" s="136"/>
      <c r="C929" s="136"/>
      <c r="D929" s="136"/>
      <c r="E929" s="136"/>
      <c r="F929" s="137"/>
      <c r="G929" s="136"/>
      <c r="H929" s="135"/>
      <c r="I929" s="133"/>
    </row>
    <row r="930" spans="1:9" x14ac:dyDescent="0.25">
      <c r="A930" s="135"/>
      <c r="B930" s="136"/>
      <c r="C930" s="136"/>
      <c r="D930" s="136"/>
      <c r="E930" s="136"/>
      <c r="F930" s="137"/>
      <c r="G930" s="136"/>
      <c r="H930" s="135"/>
      <c r="I930" s="133"/>
    </row>
    <row r="931" spans="1:9" x14ac:dyDescent="0.25">
      <c r="A931" s="135"/>
      <c r="B931" s="136"/>
      <c r="C931" s="136"/>
      <c r="D931" s="136"/>
      <c r="E931" s="136"/>
      <c r="F931" s="137"/>
      <c r="G931" s="136"/>
      <c r="H931" s="135"/>
      <c r="I931" s="133"/>
    </row>
    <row r="932" spans="1:9" x14ac:dyDescent="0.25">
      <c r="A932" s="135"/>
      <c r="B932" s="136"/>
      <c r="C932" s="136"/>
      <c r="D932" s="136"/>
      <c r="E932" s="136"/>
      <c r="F932" s="137"/>
      <c r="G932" s="136"/>
      <c r="H932" s="135"/>
      <c r="I932" s="133"/>
    </row>
    <row r="933" spans="1:9" x14ac:dyDescent="0.25">
      <c r="A933" s="135"/>
      <c r="B933" s="136"/>
      <c r="C933" s="136"/>
      <c r="D933" s="136"/>
      <c r="E933" s="136"/>
      <c r="F933" s="137"/>
      <c r="G933" s="136"/>
      <c r="H933" s="135"/>
      <c r="I933" s="133"/>
    </row>
    <row r="934" spans="1:9" x14ac:dyDescent="0.25">
      <c r="A934" s="135"/>
      <c r="B934" s="136"/>
      <c r="C934" s="136"/>
      <c r="D934" s="136"/>
      <c r="E934" s="136"/>
      <c r="F934" s="137"/>
      <c r="G934" s="136"/>
      <c r="H934" s="135"/>
      <c r="I934" s="133"/>
    </row>
    <row r="935" spans="1:9" x14ac:dyDescent="0.25">
      <c r="A935" s="135"/>
      <c r="B935" s="136"/>
      <c r="C935" s="136"/>
      <c r="D935" s="136"/>
      <c r="E935" s="136"/>
      <c r="F935" s="137"/>
      <c r="G935" s="136"/>
      <c r="H935" s="135"/>
      <c r="I935" s="133"/>
    </row>
    <row r="936" spans="1:9" x14ac:dyDescent="0.25">
      <c r="A936" s="135"/>
      <c r="B936" s="136"/>
      <c r="C936" s="136"/>
      <c r="D936" s="136"/>
      <c r="E936" s="136"/>
      <c r="F936" s="137"/>
      <c r="G936" s="136"/>
      <c r="H936" s="135"/>
      <c r="I936" s="133"/>
    </row>
    <row r="937" spans="1:9" x14ac:dyDescent="0.25">
      <c r="A937" s="135"/>
      <c r="B937" s="136"/>
      <c r="C937" s="136"/>
      <c r="D937" s="136"/>
      <c r="E937" s="136"/>
      <c r="F937" s="137"/>
      <c r="G937" s="136"/>
      <c r="H937" s="135"/>
      <c r="I937" s="133"/>
    </row>
    <row r="938" spans="1:9" x14ac:dyDescent="0.25">
      <c r="A938" s="135"/>
      <c r="B938" s="136"/>
      <c r="C938" s="136"/>
      <c r="D938" s="136"/>
      <c r="E938" s="136"/>
      <c r="F938" s="137"/>
      <c r="G938" s="136"/>
      <c r="H938" s="135"/>
      <c r="I938" s="133"/>
    </row>
    <row r="939" spans="1:9" x14ac:dyDescent="0.25">
      <c r="A939" s="135"/>
      <c r="B939" s="136"/>
      <c r="C939" s="136"/>
      <c r="D939" s="136"/>
      <c r="E939" s="136"/>
      <c r="F939" s="137"/>
      <c r="G939" s="136"/>
      <c r="H939" s="135"/>
      <c r="I939" s="133"/>
    </row>
    <row r="940" spans="1:9" x14ac:dyDescent="0.25">
      <c r="A940" s="135"/>
      <c r="B940" s="136"/>
      <c r="C940" s="136"/>
      <c r="D940" s="136"/>
      <c r="E940" s="136"/>
      <c r="F940" s="137"/>
      <c r="G940" s="136"/>
      <c r="H940" s="135"/>
      <c r="I940" s="133"/>
    </row>
    <row r="941" spans="1:9" x14ac:dyDescent="0.25">
      <c r="A941" s="135"/>
      <c r="B941" s="136"/>
      <c r="C941" s="136"/>
      <c r="D941" s="136"/>
      <c r="E941" s="136"/>
      <c r="F941" s="137"/>
      <c r="G941" s="136"/>
      <c r="H941" s="135"/>
      <c r="I941" s="133"/>
    </row>
    <row r="942" spans="1:9" x14ac:dyDescent="0.25">
      <c r="A942" s="135"/>
      <c r="B942" s="136"/>
      <c r="C942" s="136"/>
      <c r="D942" s="136"/>
      <c r="E942" s="136"/>
      <c r="F942" s="137"/>
      <c r="G942" s="136"/>
      <c r="H942" s="135"/>
      <c r="I942" s="133"/>
    </row>
    <row r="943" spans="1:9" x14ac:dyDescent="0.25">
      <c r="A943" s="135"/>
      <c r="B943" s="136"/>
      <c r="C943" s="136"/>
      <c r="D943" s="136"/>
      <c r="E943" s="136"/>
      <c r="F943" s="137"/>
      <c r="G943" s="136"/>
      <c r="H943" s="135"/>
      <c r="I943" s="133"/>
    </row>
    <row r="944" spans="1:9" x14ac:dyDescent="0.25">
      <c r="A944" s="135"/>
      <c r="B944" s="136"/>
      <c r="C944" s="136"/>
      <c r="D944" s="136"/>
      <c r="E944" s="136"/>
      <c r="F944" s="137"/>
      <c r="G944" s="136"/>
      <c r="H944" s="135"/>
      <c r="I944" s="133"/>
    </row>
    <row r="945" spans="1:9" x14ac:dyDescent="0.25">
      <c r="A945" s="135"/>
      <c r="B945" s="136"/>
      <c r="C945" s="136"/>
      <c r="D945" s="136"/>
      <c r="E945" s="136"/>
      <c r="F945" s="137"/>
      <c r="G945" s="136"/>
      <c r="H945" s="135"/>
      <c r="I945" s="133"/>
    </row>
    <row r="946" spans="1:9" x14ac:dyDescent="0.25">
      <c r="A946" s="135"/>
      <c r="B946" s="136"/>
      <c r="C946" s="136"/>
      <c r="D946" s="136"/>
      <c r="E946" s="136"/>
      <c r="F946" s="137"/>
      <c r="G946" s="136"/>
      <c r="H946" s="135"/>
      <c r="I946" s="133"/>
    </row>
    <row r="947" spans="1:9" x14ac:dyDescent="0.25">
      <c r="A947" s="135"/>
      <c r="B947" s="136"/>
      <c r="C947" s="136"/>
      <c r="D947" s="136"/>
      <c r="E947" s="136"/>
      <c r="F947" s="137"/>
      <c r="G947" s="136"/>
      <c r="H947" s="135"/>
      <c r="I947" s="133"/>
    </row>
    <row r="948" spans="1:9" x14ac:dyDescent="0.25">
      <c r="A948" s="135"/>
      <c r="B948" s="136"/>
      <c r="C948" s="136"/>
      <c r="D948" s="136"/>
      <c r="E948" s="136"/>
      <c r="F948" s="137"/>
      <c r="G948" s="136"/>
      <c r="H948" s="135"/>
      <c r="I948" s="133"/>
    </row>
    <row r="949" spans="1:9" x14ac:dyDescent="0.25">
      <c r="A949" s="135"/>
      <c r="B949" s="136"/>
      <c r="C949" s="136"/>
      <c r="D949" s="136"/>
      <c r="E949" s="136"/>
      <c r="F949" s="137"/>
      <c r="G949" s="136"/>
      <c r="H949" s="135"/>
      <c r="I949" s="133"/>
    </row>
    <row r="950" spans="1:9" x14ac:dyDescent="0.25">
      <c r="A950" s="135"/>
      <c r="B950" s="136"/>
      <c r="C950" s="136"/>
      <c r="D950" s="136"/>
      <c r="E950" s="136"/>
      <c r="F950" s="137"/>
      <c r="G950" s="136"/>
      <c r="H950" s="135"/>
      <c r="I950" s="133"/>
    </row>
    <row r="951" spans="1:9" x14ac:dyDescent="0.25">
      <c r="A951" s="135"/>
      <c r="B951" s="136"/>
      <c r="C951" s="136"/>
      <c r="D951" s="136"/>
      <c r="E951" s="136"/>
      <c r="F951" s="137"/>
      <c r="G951" s="136"/>
      <c r="H951" s="135"/>
      <c r="I951" s="133"/>
    </row>
    <row r="952" spans="1:9" x14ac:dyDescent="0.25">
      <c r="A952" s="135"/>
      <c r="B952" s="136"/>
      <c r="C952" s="136"/>
      <c r="D952" s="136"/>
      <c r="E952" s="136"/>
      <c r="F952" s="137"/>
      <c r="G952" s="136"/>
      <c r="H952" s="135"/>
      <c r="I952" s="133"/>
    </row>
    <row r="953" spans="1:9" x14ac:dyDescent="0.25">
      <c r="A953" s="135"/>
      <c r="B953" s="136"/>
      <c r="C953" s="136"/>
      <c r="D953" s="136"/>
      <c r="E953" s="136"/>
      <c r="F953" s="137"/>
      <c r="G953" s="136"/>
      <c r="H953" s="135"/>
      <c r="I953" s="133"/>
    </row>
    <row r="954" spans="1:9" x14ac:dyDescent="0.25">
      <c r="A954" s="135"/>
      <c r="B954" s="136"/>
      <c r="C954" s="136"/>
      <c r="D954" s="136"/>
      <c r="E954" s="136"/>
      <c r="F954" s="137"/>
      <c r="G954" s="136"/>
      <c r="H954" s="135"/>
      <c r="I954" s="133"/>
    </row>
    <row r="955" spans="1:9" x14ac:dyDescent="0.25">
      <c r="A955" s="135"/>
      <c r="B955" s="136"/>
      <c r="C955" s="136"/>
      <c r="D955" s="136"/>
      <c r="E955" s="136"/>
      <c r="F955" s="137"/>
      <c r="G955" s="136"/>
      <c r="H955" s="135"/>
      <c r="I955" s="133"/>
    </row>
    <row r="956" spans="1:9" x14ac:dyDescent="0.25">
      <c r="A956" s="135"/>
      <c r="B956" s="136"/>
      <c r="C956" s="136"/>
      <c r="D956" s="136"/>
      <c r="E956" s="136"/>
      <c r="F956" s="137"/>
      <c r="G956" s="136"/>
      <c r="H956" s="135"/>
      <c r="I956" s="133"/>
    </row>
    <row r="957" spans="1:9" x14ac:dyDescent="0.25">
      <c r="A957" s="135"/>
      <c r="B957" s="136"/>
      <c r="C957" s="136"/>
      <c r="D957" s="136"/>
      <c r="E957" s="136"/>
      <c r="F957" s="137"/>
      <c r="G957" s="136"/>
      <c r="H957" s="135"/>
      <c r="I957" s="133"/>
    </row>
    <row r="958" spans="1:9" x14ac:dyDescent="0.25">
      <c r="A958" s="135"/>
      <c r="B958" s="136"/>
      <c r="C958" s="136"/>
      <c r="D958" s="136"/>
      <c r="E958" s="136"/>
      <c r="F958" s="137"/>
      <c r="G958" s="136"/>
      <c r="H958" s="135"/>
      <c r="I958" s="133"/>
    </row>
    <row r="959" spans="1:9" x14ac:dyDescent="0.25">
      <c r="A959" s="135"/>
      <c r="B959" s="136"/>
      <c r="C959" s="136"/>
      <c r="D959" s="136"/>
      <c r="E959" s="136"/>
      <c r="F959" s="137"/>
      <c r="G959" s="136"/>
      <c r="H959" s="135"/>
      <c r="I959" s="133"/>
    </row>
    <row r="960" spans="1:9" x14ac:dyDescent="0.25">
      <c r="A960" s="135"/>
      <c r="B960" s="136"/>
      <c r="C960" s="136"/>
      <c r="D960" s="136"/>
      <c r="E960" s="136"/>
      <c r="F960" s="137"/>
      <c r="G960" s="136"/>
      <c r="H960" s="135"/>
      <c r="I960" s="133"/>
    </row>
    <row r="961" spans="1:9" x14ac:dyDescent="0.25">
      <c r="A961" s="135"/>
      <c r="B961" s="136"/>
      <c r="C961" s="136"/>
      <c r="D961" s="136"/>
      <c r="E961" s="136"/>
      <c r="F961" s="137"/>
      <c r="G961" s="136"/>
      <c r="H961" s="135"/>
      <c r="I961" s="133"/>
    </row>
    <row r="962" spans="1:9" x14ac:dyDescent="0.25">
      <c r="A962" s="135"/>
      <c r="B962" s="136"/>
      <c r="C962" s="136"/>
      <c r="D962" s="136"/>
      <c r="E962" s="136"/>
      <c r="F962" s="137"/>
      <c r="G962" s="136"/>
      <c r="H962" s="135"/>
      <c r="I962" s="133"/>
    </row>
    <row r="963" spans="1:9" x14ac:dyDescent="0.25">
      <c r="A963" s="135"/>
      <c r="B963" s="136"/>
      <c r="C963" s="136"/>
      <c r="D963" s="136"/>
      <c r="E963" s="136"/>
      <c r="F963" s="137"/>
      <c r="G963" s="136"/>
      <c r="H963" s="135"/>
      <c r="I963" s="133"/>
    </row>
    <row r="964" spans="1:9" x14ac:dyDescent="0.25">
      <c r="A964" s="135"/>
      <c r="B964" s="136"/>
      <c r="C964" s="136"/>
      <c r="D964" s="136"/>
      <c r="E964" s="136"/>
      <c r="F964" s="137"/>
      <c r="G964" s="136"/>
      <c r="H964" s="135"/>
      <c r="I964" s="133"/>
    </row>
    <row r="965" spans="1:9" x14ac:dyDescent="0.25">
      <c r="A965" s="135"/>
      <c r="B965" s="136"/>
      <c r="C965" s="136"/>
      <c r="D965" s="136"/>
      <c r="E965" s="136"/>
      <c r="F965" s="137"/>
      <c r="G965" s="136"/>
      <c r="H965" s="135"/>
      <c r="I965" s="133"/>
    </row>
    <row r="966" spans="1:9" x14ac:dyDescent="0.25">
      <c r="A966" s="135"/>
      <c r="B966" s="136"/>
      <c r="C966" s="136"/>
      <c r="D966" s="136"/>
      <c r="E966" s="136"/>
      <c r="F966" s="137"/>
      <c r="G966" s="136"/>
      <c r="H966" s="135"/>
      <c r="I966" s="133"/>
    </row>
    <row r="967" spans="1:9" x14ac:dyDescent="0.25">
      <c r="A967" s="135"/>
      <c r="B967" s="136"/>
      <c r="C967" s="136"/>
      <c r="D967" s="136"/>
      <c r="E967" s="136"/>
      <c r="F967" s="137"/>
      <c r="G967" s="136"/>
      <c r="H967" s="135"/>
      <c r="I967" s="133"/>
    </row>
    <row r="968" spans="1:9" x14ac:dyDescent="0.25">
      <c r="A968" s="135"/>
      <c r="B968" s="136"/>
      <c r="C968" s="136"/>
      <c r="D968" s="136"/>
      <c r="E968" s="136"/>
      <c r="F968" s="137"/>
      <c r="G968" s="136"/>
      <c r="H968" s="135"/>
      <c r="I968" s="133"/>
    </row>
    <row r="969" spans="1:9" x14ac:dyDescent="0.25">
      <c r="A969" s="135"/>
      <c r="B969" s="136"/>
      <c r="C969" s="136"/>
      <c r="D969" s="136"/>
      <c r="E969" s="136"/>
      <c r="F969" s="137"/>
      <c r="G969" s="136"/>
      <c r="H969" s="135"/>
      <c r="I969" s="133"/>
    </row>
    <row r="970" spans="1:9" x14ac:dyDescent="0.25">
      <c r="A970" s="135"/>
      <c r="B970" s="136"/>
      <c r="C970" s="136"/>
      <c r="D970" s="136"/>
      <c r="E970" s="136"/>
      <c r="F970" s="137"/>
      <c r="G970" s="136"/>
      <c r="H970" s="135"/>
      <c r="I970" s="133"/>
    </row>
    <row r="971" spans="1:9" x14ac:dyDescent="0.25">
      <c r="A971" s="135"/>
      <c r="B971" s="136"/>
      <c r="C971" s="136"/>
      <c r="D971" s="136"/>
      <c r="E971" s="136"/>
      <c r="F971" s="137"/>
      <c r="G971" s="136"/>
      <c r="H971" s="135"/>
      <c r="I971" s="133"/>
    </row>
    <row r="972" spans="1:9" x14ac:dyDescent="0.25">
      <c r="A972" s="135"/>
      <c r="B972" s="136"/>
      <c r="C972" s="136"/>
      <c r="D972" s="136"/>
      <c r="E972" s="136"/>
      <c r="F972" s="137"/>
      <c r="G972" s="136"/>
      <c r="H972" s="135"/>
      <c r="I972" s="133"/>
    </row>
    <row r="973" spans="1:9" x14ac:dyDescent="0.25">
      <c r="A973" s="135"/>
      <c r="B973" s="136"/>
      <c r="C973" s="136"/>
      <c r="D973" s="136"/>
      <c r="E973" s="136"/>
      <c r="F973" s="137"/>
      <c r="G973" s="136"/>
      <c r="H973" s="135"/>
      <c r="I973" s="133"/>
    </row>
    <row r="974" spans="1:9" x14ac:dyDescent="0.25">
      <c r="A974" s="135"/>
      <c r="B974" s="136"/>
      <c r="C974" s="136"/>
      <c r="D974" s="136"/>
      <c r="E974" s="136"/>
      <c r="F974" s="137"/>
      <c r="G974" s="136"/>
      <c r="H974" s="135"/>
      <c r="I974" s="133"/>
    </row>
    <row r="975" spans="1:9" x14ac:dyDescent="0.25">
      <c r="A975" s="135"/>
      <c r="B975" s="136"/>
      <c r="C975" s="136"/>
      <c r="D975" s="136"/>
      <c r="E975" s="136"/>
      <c r="F975" s="137"/>
      <c r="G975" s="136"/>
      <c r="H975" s="135"/>
      <c r="I975" s="133"/>
    </row>
    <row r="976" spans="1:9" x14ac:dyDescent="0.25">
      <c r="A976" s="135"/>
      <c r="B976" s="136"/>
      <c r="C976" s="136"/>
      <c r="D976" s="136"/>
      <c r="E976" s="136"/>
      <c r="F976" s="137"/>
      <c r="G976" s="136"/>
      <c r="H976" s="135"/>
      <c r="I976" s="133"/>
    </row>
    <row r="977" spans="1:9" x14ac:dyDescent="0.25">
      <c r="A977" s="135"/>
      <c r="B977" s="136"/>
      <c r="C977" s="136"/>
      <c r="D977" s="136"/>
      <c r="E977" s="136"/>
      <c r="F977" s="137"/>
      <c r="G977" s="136"/>
      <c r="H977" s="135"/>
      <c r="I977" s="133"/>
    </row>
    <row r="978" spans="1:9" x14ac:dyDescent="0.25">
      <c r="A978" s="135"/>
      <c r="B978" s="136"/>
      <c r="C978" s="136"/>
      <c r="D978" s="136"/>
      <c r="E978" s="136"/>
      <c r="F978" s="137"/>
      <c r="G978" s="136"/>
      <c r="H978" s="135"/>
      <c r="I978" s="133"/>
    </row>
    <row r="979" spans="1:9" x14ac:dyDescent="0.25">
      <c r="A979" s="135"/>
      <c r="B979" s="136"/>
      <c r="C979" s="136"/>
      <c r="D979" s="136"/>
      <c r="E979" s="136"/>
      <c r="F979" s="137"/>
      <c r="G979" s="136"/>
      <c r="H979" s="135"/>
      <c r="I979" s="133"/>
    </row>
    <row r="980" spans="1:9" x14ac:dyDescent="0.25">
      <c r="A980" s="135"/>
      <c r="B980" s="136"/>
      <c r="C980" s="136"/>
      <c r="D980" s="136"/>
      <c r="E980" s="136"/>
      <c r="F980" s="137"/>
      <c r="G980" s="136"/>
      <c r="H980" s="135"/>
      <c r="I980" s="133"/>
    </row>
    <row r="981" spans="1:9" x14ac:dyDescent="0.25">
      <c r="A981" s="135"/>
      <c r="B981" s="136"/>
      <c r="C981" s="136"/>
      <c r="D981" s="136"/>
      <c r="E981" s="136"/>
      <c r="F981" s="137"/>
      <c r="G981" s="136"/>
      <c r="H981" s="135"/>
      <c r="I981" s="133"/>
    </row>
    <row r="982" spans="1:9" x14ac:dyDescent="0.25">
      <c r="A982" s="135"/>
      <c r="B982" s="136"/>
      <c r="C982" s="136"/>
      <c r="D982" s="136"/>
      <c r="E982" s="136"/>
      <c r="F982" s="137"/>
      <c r="G982" s="136"/>
      <c r="H982" s="135"/>
      <c r="I982" s="133"/>
    </row>
    <row r="983" spans="1:9" x14ac:dyDescent="0.25">
      <c r="A983" s="135"/>
      <c r="B983" s="136"/>
      <c r="C983" s="136"/>
      <c r="D983" s="136"/>
      <c r="E983" s="136"/>
      <c r="F983" s="137"/>
      <c r="G983" s="136"/>
      <c r="H983" s="135"/>
      <c r="I983" s="133"/>
    </row>
    <row r="984" spans="1:9" x14ac:dyDescent="0.25">
      <c r="A984" s="135"/>
      <c r="B984" s="136"/>
      <c r="C984" s="136"/>
      <c r="D984" s="136"/>
      <c r="E984" s="136"/>
      <c r="F984" s="137"/>
      <c r="G984" s="136"/>
      <c r="H984" s="135"/>
      <c r="I984" s="133"/>
    </row>
    <row r="985" spans="1:9" x14ac:dyDescent="0.25">
      <c r="A985" s="135"/>
      <c r="B985" s="136"/>
      <c r="C985" s="136"/>
      <c r="D985" s="136"/>
      <c r="E985" s="136"/>
      <c r="F985" s="137"/>
      <c r="G985" s="136"/>
      <c r="H985" s="135"/>
      <c r="I985" s="133"/>
    </row>
    <row r="986" spans="1:9" x14ac:dyDescent="0.25">
      <c r="A986" s="135"/>
      <c r="B986" s="136"/>
      <c r="C986" s="136"/>
      <c r="D986" s="136"/>
      <c r="E986" s="136"/>
      <c r="F986" s="137"/>
      <c r="G986" s="136"/>
      <c r="H986" s="135"/>
      <c r="I986" s="133"/>
    </row>
    <row r="987" spans="1:9" x14ac:dyDescent="0.25">
      <c r="A987" s="135"/>
      <c r="B987" s="136"/>
      <c r="C987" s="136"/>
      <c r="D987" s="136"/>
      <c r="E987" s="136"/>
      <c r="F987" s="137"/>
      <c r="G987" s="136"/>
      <c r="H987" s="135"/>
      <c r="I987" s="133"/>
    </row>
    <row r="988" spans="1:9" x14ac:dyDescent="0.25">
      <c r="A988" s="135"/>
      <c r="B988" s="136"/>
      <c r="C988" s="136"/>
      <c r="D988" s="136"/>
      <c r="E988" s="136"/>
      <c r="F988" s="137"/>
      <c r="G988" s="136"/>
      <c r="H988" s="135"/>
      <c r="I988" s="133"/>
    </row>
    <row r="989" spans="1:9" x14ac:dyDescent="0.25">
      <c r="A989" s="135"/>
      <c r="B989" s="136"/>
      <c r="C989" s="136"/>
      <c r="D989" s="136"/>
      <c r="E989" s="136"/>
      <c r="F989" s="137"/>
      <c r="G989" s="136"/>
      <c r="H989" s="135"/>
      <c r="I989" s="133"/>
    </row>
    <row r="990" spans="1:9" x14ac:dyDescent="0.25">
      <c r="A990" s="135"/>
      <c r="B990" s="136"/>
      <c r="C990" s="136"/>
      <c r="D990" s="136"/>
      <c r="E990" s="136"/>
      <c r="F990" s="137"/>
      <c r="G990" s="136"/>
      <c r="H990" s="135"/>
      <c r="I990" s="133"/>
    </row>
    <row r="991" spans="1:9" x14ac:dyDescent="0.25">
      <c r="A991" s="135"/>
      <c r="B991" s="136"/>
      <c r="C991" s="136"/>
      <c r="D991" s="136"/>
      <c r="E991" s="136"/>
      <c r="F991" s="137"/>
      <c r="G991" s="136"/>
      <c r="H991" s="135"/>
      <c r="I991" s="133"/>
    </row>
    <row r="992" spans="1:9" x14ac:dyDescent="0.25">
      <c r="A992" s="135"/>
      <c r="B992" s="136"/>
      <c r="C992" s="136"/>
      <c r="D992" s="136"/>
      <c r="E992" s="136"/>
      <c r="F992" s="137"/>
      <c r="G992" s="136"/>
      <c r="H992" s="135"/>
      <c r="I992" s="133"/>
    </row>
    <row r="993" spans="1:9" x14ac:dyDescent="0.25">
      <c r="A993" s="135"/>
      <c r="B993" s="136"/>
      <c r="C993" s="136"/>
      <c r="D993" s="136"/>
      <c r="E993" s="136"/>
      <c r="F993" s="137"/>
      <c r="G993" s="136"/>
      <c r="H993" s="135"/>
      <c r="I993" s="133"/>
    </row>
    <row r="994" spans="1:9" x14ac:dyDescent="0.25">
      <c r="A994" s="135"/>
      <c r="B994" s="136"/>
      <c r="C994" s="136"/>
      <c r="D994" s="136"/>
      <c r="E994" s="136"/>
      <c r="F994" s="137"/>
      <c r="G994" s="136"/>
      <c r="H994" s="135"/>
      <c r="I994" s="133"/>
    </row>
    <row r="995" spans="1:9" x14ac:dyDescent="0.25">
      <c r="A995" s="135"/>
      <c r="B995" s="136"/>
      <c r="C995" s="136"/>
      <c r="D995" s="136"/>
      <c r="E995" s="136"/>
      <c r="F995" s="137"/>
      <c r="G995" s="136"/>
      <c r="H995" s="135"/>
      <c r="I995" s="133"/>
    </row>
    <row r="996" spans="1:9" x14ac:dyDescent="0.25">
      <c r="A996" s="135"/>
      <c r="B996" s="136"/>
      <c r="C996" s="136"/>
      <c r="D996" s="136"/>
      <c r="E996" s="136"/>
      <c r="F996" s="137"/>
      <c r="G996" s="136"/>
      <c r="H996" s="135"/>
      <c r="I996" s="133"/>
    </row>
    <row r="997" spans="1:9" x14ac:dyDescent="0.25">
      <c r="A997" s="135"/>
      <c r="B997" s="136"/>
      <c r="C997" s="136"/>
      <c r="D997" s="136"/>
      <c r="E997" s="136"/>
      <c r="F997" s="137"/>
      <c r="G997" s="136"/>
      <c r="H997" s="135"/>
      <c r="I997" s="133"/>
    </row>
    <row r="998" spans="1:9" x14ac:dyDescent="0.25">
      <c r="A998" s="135"/>
      <c r="B998" s="136"/>
      <c r="C998" s="136"/>
      <c r="D998" s="136"/>
      <c r="E998" s="136"/>
      <c r="F998" s="137"/>
      <c r="G998" s="136"/>
      <c r="H998" s="135"/>
      <c r="I998" s="133"/>
    </row>
    <row r="999" spans="1:9" x14ac:dyDescent="0.25">
      <c r="A999" s="135"/>
      <c r="B999" s="136"/>
      <c r="C999" s="136"/>
      <c r="D999" s="136"/>
      <c r="E999" s="136"/>
      <c r="F999" s="137"/>
      <c r="G999" s="136"/>
      <c r="H999" s="135"/>
      <c r="I999" s="133"/>
    </row>
    <row r="1000" spans="1:9" x14ac:dyDescent="0.25">
      <c r="A1000" s="135"/>
      <c r="B1000" s="136"/>
      <c r="C1000" s="136"/>
      <c r="D1000" s="136"/>
      <c r="E1000" s="136"/>
      <c r="F1000" s="137"/>
      <c r="G1000" s="136"/>
      <c r="H1000" s="135"/>
      <c r="I1000" s="133"/>
    </row>
    <row r="1001" spans="1:9" x14ac:dyDescent="0.25">
      <c r="A1001" s="135"/>
      <c r="B1001" s="136"/>
      <c r="C1001" s="136"/>
      <c r="D1001" s="136"/>
      <c r="E1001" s="136"/>
      <c r="F1001" s="137"/>
      <c r="G1001" s="136"/>
      <c r="H1001" s="135"/>
      <c r="I1001" s="133"/>
    </row>
    <row r="1002" spans="1:9" x14ac:dyDescent="0.25">
      <c r="A1002" s="135"/>
      <c r="B1002" s="136"/>
      <c r="C1002" s="136"/>
      <c r="D1002" s="136"/>
      <c r="E1002" s="136"/>
      <c r="F1002" s="137"/>
      <c r="G1002" s="136"/>
      <c r="H1002" s="135"/>
      <c r="I1002" s="133"/>
    </row>
    <row r="1003" spans="1:9" x14ac:dyDescent="0.25">
      <c r="A1003" s="135"/>
      <c r="B1003" s="136"/>
      <c r="C1003" s="136"/>
      <c r="D1003" s="136"/>
      <c r="E1003" s="136"/>
      <c r="F1003" s="137"/>
      <c r="G1003" s="136"/>
      <c r="H1003" s="135"/>
      <c r="I1003" s="133"/>
    </row>
    <row r="1004" spans="1:9" x14ac:dyDescent="0.25">
      <c r="A1004" s="135"/>
      <c r="B1004" s="136"/>
      <c r="C1004" s="136"/>
      <c r="D1004" s="136"/>
      <c r="E1004" s="136"/>
      <c r="F1004" s="137"/>
      <c r="G1004" s="136"/>
      <c r="H1004" s="135"/>
      <c r="I1004" s="133"/>
    </row>
    <row r="1005" spans="1:9" x14ac:dyDescent="0.25">
      <c r="A1005" s="135"/>
      <c r="B1005" s="136"/>
      <c r="C1005" s="136"/>
      <c r="D1005" s="136"/>
      <c r="E1005" s="136"/>
      <c r="F1005" s="137"/>
      <c r="G1005" s="136"/>
      <c r="H1005" s="135"/>
      <c r="I1005" s="133"/>
    </row>
    <row r="1006" spans="1:9" x14ac:dyDescent="0.25">
      <c r="A1006" s="135"/>
      <c r="B1006" s="136"/>
      <c r="C1006" s="136"/>
      <c r="D1006" s="136"/>
      <c r="E1006" s="136"/>
      <c r="F1006" s="137"/>
      <c r="G1006" s="136"/>
      <c r="H1006" s="135"/>
      <c r="I1006" s="133"/>
    </row>
    <row r="1007" spans="1:9" x14ac:dyDescent="0.25">
      <c r="A1007" s="135"/>
      <c r="B1007" s="136"/>
      <c r="C1007" s="136"/>
      <c r="D1007" s="136"/>
      <c r="E1007" s="136"/>
      <c r="F1007" s="137"/>
      <c r="G1007" s="136"/>
      <c r="H1007" s="135"/>
      <c r="I1007" s="133"/>
    </row>
    <row r="1008" spans="1:9" x14ac:dyDescent="0.25">
      <c r="A1008" s="135"/>
      <c r="B1008" s="136"/>
      <c r="C1008" s="136"/>
      <c r="D1008" s="136"/>
      <c r="E1008" s="136"/>
      <c r="F1008" s="137"/>
      <c r="G1008" s="136"/>
      <c r="H1008" s="135"/>
      <c r="I1008" s="133"/>
    </row>
    <row r="1009" spans="1:9" x14ac:dyDescent="0.25">
      <c r="A1009" s="135"/>
      <c r="B1009" s="136"/>
      <c r="C1009" s="136"/>
      <c r="D1009" s="136"/>
      <c r="E1009" s="136"/>
      <c r="F1009" s="137"/>
      <c r="G1009" s="136"/>
      <c r="H1009" s="135"/>
      <c r="I1009" s="133"/>
    </row>
    <row r="1010" spans="1:9" x14ac:dyDescent="0.25">
      <c r="A1010" s="135"/>
      <c r="B1010" s="136"/>
      <c r="C1010" s="136"/>
      <c r="D1010" s="136"/>
      <c r="E1010" s="136"/>
      <c r="F1010" s="137"/>
      <c r="G1010" s="136"/>
      <c r="H1010" s="135"/>
      <c r="I1010" s="133"/>
    </row>
    <row r="1011" spans="1:9" x14ac:dyDescent="0.25">
      <c r="A1011" s="135"/>
      <c r="B1011" s="136"/>
      <c r="C1011" s="136"/>
      <c r="D1011" s="136"/>
      <c r="E1011" s="136"/>
      <c r="F1011" s="137"/>
      <c r="G1011" s="136"/>
      <c r="H1011" s="135"/>
      <c r="I1011" s="133"/>
    </row>
    <row r="1012" spans="1:9" x14ac:dyDescent="0.25">
      <c r="A1012" s="135"/>
      <c r="B1012" s="136"/>
      <c r="C1012" s="136"/>
      <c r="D1012" s="136"/>
      <c r="E1012" s="136"/>
      <c r="F1012" s="137"/>
      <c r="G1012" s="136"/>
      <c r="H1012" s="135"/>
      <c r="I1012" s="133"/>
    </row>
    <row r="1013" spans="1:9" x14ac:dyDescent="0.25">
      <c r="A1013" s="135"/>
      <c r="B1013" s="136"/>
      <c r="C1013" s="136"/>
      <c r="D1013" s="136"/>
      <c r="E1013" s="136"/>
      <c r="F1013" s="137"/>
      <c r="G1013" s="136"/>
      <c r="H1013" s="135"/>
      <c r="I1013" s="133"/>
    </row>
    <row r="1014" spans="1:9" x14ac:dyDescent="0.25">
      <c r="A1014" s="135"/>
      <c r="B1014" s="136"/>
      <c r="C1014" s="136"/>
      <c r="D1014" s="136"/>
      <c r="E1014" s="136"/>
      <c r="F1014" s="137"/>
      <c r="G1014" s="136"/>
      <c r="H1014" s="135"/>
      <c r="I1014" s="133"/>
    </row>
    <row r="1015" spans="1:9" x14ac:dyDescent="0.25">
      <c r="A1015" s="135"/>
      <c r="B1015" s="136"/>
      <c r="C1015" s="136"/>
      <c r="D1015" s="136"/>
      <c r="E1015" s="136"/>
      <c r="F1015" s="137"/>
      <c r="G1015" s="136"/>
      <c r="H1015" s="135"/>
      <c r="I1015" s="133"/>
    </row>
    <row r="1016" spans="1:9" x14ac:dyDescent="0.25">
      <c r="A1016" s="135"/>
      <c r="B1016" s="136"/>
      <c r="C1016" s="136"/>
      <c r="D1016" s="136"/>
      <c r="E1016" s="136"/>
      <c r="F1016" s="137"/>
      <c r="G1016" s="136"/>
      <c r="H1016" s="135"/>
      <c r="I1016" s="133"/>
    </row>
    <row r="1017" spans="1:9" x14ac:dyDescent="0.25">
      <c r="A1017" s="135"/>
      <c r="B1017" s="136"/>
      <c r="C1017" s="136"/>
      <c r="D1017" s="136"/>
      <c r="E1017" s="136"/>
      <c r="F1017" s="137"/>
      <c r="G1017" s="136"/>
      <c r="H1017" s="135"/>
      <c r="I1017" s="133"/>
    </row>
    <row r="1018" spans="1:9" x14ac:dyDescent="0.25">
      <c r="A1018" s="135"/>
      <c r="B1018" s="136"/>
      <c r="C1018" s="136"/>
      <c r="D1018" s="136"/>
      <c r="E1018" s="136"/>
      <c r="F1018" s="137"/>
      <c r="G1018" s="136"/>
      <c r="H1018" s="135"/>
      <c r="I1018" s="133"/>
    </row>
    <row r="1019" spans="1:9" x14ac:dyDescent="0.25">
      <c r="A1019" s="135"/>
      <c r="B1019" s="136"/>
      <c r="C1019" s="136"/>
      <c r="D1019" s="136"/>
      <c r="E1019" s="136"/>
      <c r="F1019" s="137"/>
      <c r="G1019" s="136"/>
      <c r="H1019" s="135"/>
      <c r="I1019" s="133"/>
    </row>
    <row r="1020" spans="1:9" x14ac:dyDescent="0.25">
      <c r="A1020" s="135"/>
      <c r="B1020" s="136"/>
      <c r="C1020" s="136"/>
      <c r="D1020" s="136"/>
      <c r="E1020" s="136"/>
      <c r="F1020" s="137"/>
      <c r="G1020" s="136"/>
      <c r="H1020" s="135"/>
      <c r="I1020" s="133"/>
    </row>
    <row r="1021" spans="1:9" x14ac:dyDescent="0.25">
      <c r="A1021" s="135"/>
      <c r="B1021" s="136"/>
      <c r="C1021" s="136"/>
      <c r="D1021" s="136"/>
      <c r="E1021" s="136"/>
      <c r="F1021" s="137"/>
      <c r="G1021" s="136"/>
      <c r="H1021" s="135"/>
      <c r="I1021" s="133"/>
    </row>
    <row r="1022" spans="1:9" x14ac:dyDescent="0.25">
      <c r="A1022" s="135"/>
      <c r="B1022" s="136"/>
      <c r="C1022" s="136"/>
      <c r="D1022" s="136"/>
      <c r="E1022" s="136"/>
      <c r="F1022" s="137"/>
      <c r="G1022" s="136"/>
      <c r="H1022" s="135"/>
      <c r="I1022" s="133"/>
    </row>
    <row r="1023" spans="1:9" x14ac:dyDescent="0.25">
      <c r="A1023" s="135"/>
      <c r="B1023" s="136"/>
      <c r="C1023" s="136"/>
      <c r="D1023" s="136"/>
      <c r="E1023" s="136"/>
      <c r="F1023" s="137"/>
      <c r="G1023" s="136"/>
      <c r="H1023" s="135"/>
      <c r="I1023" s="133"/>
    </row>
    <row r="1024" spans="1:9" x14ac:dyDescent="0.25">
      <c r="A1024" s="135"/>
      <c r="B1024" s="136"/>
      <c r="C1024" s="136"/>
      <c r="D1024" s="136"/>
      <c r="E1024" s="136"/>
      <c r="F1024" s="137"/>
      <c r="G1024" s="136"/>
      <c r="H1024" s="135"/>
      <c r="I1024" s="133"/>
    </row>
    <row r="1025" spans="1:9" x14ac:dyDescent="0.25">
      <c r="A1025" s="135"/>
      <c r="B1025" s="136"/>
      <c r="C1025" s="136"/>
      <c r="D1025" s="136"/>
      <c r="E1025" s="136"/>
      <c r="F1025" s="137"/>
      <c r="G1025" s="136"/>
      <c r="H1025" s="135"/>
      <c r="I1025" s="133"/>
    </row>
    <row r="1026" spans="1:9" x14ac:dyDescent="0.25">
      <c r="A1026" s="135"/>
      <c r="B1026" s="136"/>
      <c r="C1026" s="136"/>
      <c r="D1026" s="136"/>
      <c r="E1026" s="136"/>
      <c r="F1026" s="137"/>
      <c r="G1026" s="136"/>
      <c r="H1026" s="135"/>
      <c r="I1026" s="133"/>
    </row>
    <row r="1027" spans="1:9" x14ac:dyDescent="0.25">
      <c r="A1027" s="135"/>
      <c r="B1027" s="136"/>
      <c r="C1027" s="136"/>
      <c r="D1027" s="136"/>
      <c r="E1027" s="136"/>
      <c r="F1027" s="137"/>
      <c r="G1027" s="136"/>
      <c r="H1027" s="135"/>
      <c r="I1027" s="133"/>
    </row>
    <row r="1028" spans="1:9" x14ac:dyDescent="0.25">
      <c r="A1028" s="135"/>
      <c r="B1028" s="136"/>
      <c r="C1028" s="136"/>
      <c r="D1028" s="136"/>
      <c r="E1028" s="136"/>
      <c r="F1028" s="137"/>
      <c r="G1028" s="136"/>
      <c r="H1028" s="135"/>
      <c r="I1028" s="133"/>
    </row>
    <row r="1029" spans="1:9" x14ac:dyDescent="0.25">
      <c r="A1029" s="135"/>
      <c r="B1029" s="136"/>
      <c r="C1029" s="136"/>
      <c r="D1029" s="136"/>
      <c r="E1029" s="136"/>
      <c r="F1029" s="137"/>
      <c r="G1029" s="136"/>
      <c r="H1029" s="135"/>
      <c r="I1029" s="133"/>
    </row>
    <row r="1030" spans="1:9" x14ac:dyDescent="0.25">
      <c r="A1030" s="135"/>
      <c r="B1030" s="136"/>
      <c r="C1030" s="136"/>
      <c r="D1030" s="136"/>
      <c r="E1030" s="136"/>
      <c r="F1030" s="137"/>
      <c r="G1030" s="136"/>
      <c r="H1030" s="135"/>
      <c r="I1030" s="133"/>
    </row>
    <row r="1031" spans="1:9" x14ac:dyDescent="0.25">
      <c r="A1031" s="135"/>
      <c r="B1031" s="136"/>
      <c r="C1031" s="136"/>
      <c r="D1031" s="136"/>
      <c r="E1031" s="136"/>
      <c r="F1031" s="137"/>
      <c r="G1031" s="136"/>
      <c r="H1031" s="135"/>
      <c r="I1031" s="133"/>
    </row>
    <row r="1032" spans="1:9" x14ac:dyDescent="0.25">
      <c r="A1032" s="135"/>
      <c r="B1032" s="136"/>
      <c r="C1032" s="136"/>
      <c r="D1032" s="136"/>
      <c r="E1032" s="136"/>
      <c r="F1032" s="137"/>
      <c r="G1032" s="136"/>
      <c r="H1032" s="135"/>
      <c r="I1032" s="133"/>
    </row>
    <row r="1033" spans="1:9" x14ac:dyDescent="0.25">
      <c r="A1033" s="135"/>
      <c r="B1033" s="136"/>
      <c r="C1033" s="136"/>
      <c r="D1033" s="136"/>
      <c r="E1033" s="136"/>
      <c r="F1033" s="137"/>
      <c r="G1033" s="136"/>
      <c r="H1033" s="135"/>
      <c r="I1033" s="133"/>
    </row>
    <row r="1034" spans="1:9" x14ac:dyDescent="0.25">
      <c r="A1034" s="135"/>
      <c r="B1034" s="136"/>
      <c r="C1034" s="136"/>
      <c r="D1034" s="136"/>
      <c r="E1034" s="136"/>
      <c r="F1034" s="137"/>
      <c r="G1034" s="136"/>
      <c r="H1034" s="135"/>
      <c r="I1034" s="133"/>
    </row>
    <row r="1035" spans="1:9" x14ac:dyDescent="0.25">
      <c r="A1035" s="135"/>
      <c r="B1035" s="136"/>
      <c r="C1035" s="136"/>
      <c r="D1035" s="136"/>
      <c r="E1035" s="136"/>
      <c r="F1035" s="137"/>
      <c r="G1035" s="136"/>
      <c r="H1035" s="135"/>
      <c r="I1035" s="133"/>
    </row>
    <row r="1036" spans="1:9" x14ac:dyDescent="0.25">
      <c r="A1036" s="135"/>
      <c r="B1036" s="136"/>
      <c r="C1036" s="136"/>
      <c r="D1036" s="136"/>
      <c r="E1036" s="136"/>
      <c r="F1036" s="137"/>
      <c r="G1036" s="136"/>
      <c r="H1036" s="135"/>
      <c r="I1036" s="133"/>
    </row>
    <row r="1037" spans="1:9" x14ac:dyDescent="0.25">
      <c r="A1037" s="135"/>
      <c r="B1037" s="136"/>
      <c r="C1037" s="136"/>
      <c r="D1037" s="136"/>
      <c r="E1037" s="136"/>
      <c r="F1037" s="137"/>
      <c r="G1037" s="136"/>
      <c r="H1037" s="135"/>
      <c r="I1037" s="133"/>
    </row>
    <row r="1038" spans="1:9" x14ac:dyDescent="0.25">
      <c r="A1038" s="135"/>
      <c r="B1038" s="136"/>
      <c r="C1038" s="136"/>
      <c r="D1038" s="136"/>
      <c r="E1038" s="136"/>
      <c r="F1038" s="137"/>
      <c r="G1038" s="136"/>
      <c r="H1038" s="135"/>
      <c r="I1038" s="133"/>
    </row>
    <row r="1039" spans="1:9" x14ac:dyDescent="0.25">
      <c r="A1039" s="135"/>
      <c r="B1039" s="136"/>
      <c r="C1039" s="136"/>
      <c r="D1039" s="136"/>
      <c r="E1039" s="136"/>
      <c r="F1039" s="137"/>
      <c r="G1039" s="136"/>
      <c r="H1039" s="135"/>
      <c r="I1039" s="133"/>
    </row>
    <row r="1040" spans="1:9" x14ac:dyDescent="0.25">
      <c r="A1040" s="135"/>
      <c r="B1040" s="136"/>
      <c r="C1040" s="136"/>
      <c r="D1040" s="136"/>
      <c r="E1040" s="136"/>
      <c r="F1040" s="137"/>
      <c r="G1040" s="136"/>
      <c r="H1040" s="135"/>
      <c r="I1040" s="133"/>
    </row>
    <row r="1041" spans="1:9" x14ac:dyDescent="0.25">
      <c r="A1041" s="135"/>
      <c r="B1041" s="136"/>
      <c r="C1041" s="136"/>
      <c r="D1041" s="136"/>
      <c r="E1041" s="136"/>
      <c r="F1041" s="137"/>
      <c r="G1041" s="136"/>
      <c r="H1041" s="135"/>
      <c r="I1041" s="133"/>
    </row>
    <row r="1042" spans="1:9" x14ac:dyDescent="0.25">
      <c r="A1042" s="135"/>
      <c r="B1042" s="136"/>
      <c r="C1042" s="136"/>
      <c r="D1042" s="136"/>
      <c r="E1042" s="136"/>
      <c r="F1042" s="137"/>
      <c r="G1042" s="136"/>
      <c r="H1042" s="135"/>
      <c r="I1042" s="133"/>
    </row>
    <row r="1043" spans="1:9" x14ac:dyDescent="0.25">
      <c r="A1043" s="135"/>
      <c r="B1043" s="136"/>
      <c r="C1043" s="136"/>
      <c r="D1043" s="136"/>
      <c r="E1043" s="136"/>
      <c r="F1043" s="137"/>
      <c r="G1043" s="136"/>
      <c r="H1043" s="135"/>
      <c r="I1043" s="133"/>
    </row>
    <row r="1044" spans="1:9" x14ac:dyDescent="0.25">
      <c r="A1044" s="135"/>
      <c r="B1044" s="136"/>
      <c r="C1044" s="136"/>
      <c r="D1044" s="136"/>
      <c r="E1044" s="136"/>
      <c r="F1044" s="137"/>
      <c r="G1044" s="136"/>
      <c r="H1044" s="135"/>
      <c r="I1044" s="133"/>
    </row>
    <row r="1045" spans="1:9" x14ac:dyDescent="0.25">
      <c r="A1045" s="135"/>
      <c r="B1045" s="136"/>
      <c r="C1045" s="136"/>
      <c r="D1045" s="136"/>
      <c r="E1045" s="136"/>
      <c r="F1045" s="137"/>
      <c r="G1045" s="136"/>
      <c r="H1045" s="135"/>
      <c r="I1045" s="133"/>
    </row>
    <row r="1046" spans="1:9" x14ac:dyDescent="0.25">
      <c r="A1046" s="135"/>
      <c r="B1046" s="136"/>
      <c r="C1046" s="136"/>
      <c r="D1046" s="136"/>
      <c r="E1046" s="136"/>
      <c r="F1046" s="137"/>
      <c r="G1046" s="136"/>
      <c r="H1046" s="135"/>
      <c r="I1046" s="133"/>
    </row>
    <row r="1047" spans="1:9" x14ac:dyDescent="0.25">
      <c r="A1047" s="135"/>
      <c r="B1047" s="136"/>
      <c r="C1047" s="136"/>
      <c r="D1047" s="136"/>
      <c r="E1047" s="136"/>
      <c r="F1047" s="137"/>
      <c r="G1047" s="136"/>
      <c r="H1047" s="135"/>
      <c r="I1047" s="133"/>
    </row>
    <row r="1048" spans="1:9" x14ac:dyDescent="0.25">
      <c r="A1048" s="135"/>
      <c r="B1048" s="136"/>
      <c r="C1048" s="136"/>
      <c r="D1048" s="136"/>
      <c r="E1048" s="136"/>
      <c r="F1048" s="137"/>
      <c r="G1048" s="136"/>
      <c r="H1048" s="135"/>
      <c r="I1048" s="133"/>
    </row>
    <row r="1049" spans="1:9" x14ac:dyDescent="0.25">
      <c r="A1049" s="135"/>
      <c r="B1049" s="136"/>
      <c r="C1049" s="136"/>
      <c r="D1049" s="136"/>
      <c r="E1049" s="136"/>
      <c r="F1049" s="137"/>
      <c r="G1049" s="136"/>
      <c r="H1049" s="135"/>
      <c r="I1049" s="133"/>
    </row>
    <row r="1050" spans="1:9" x14ac:dyDescent="0.25">
      <c r="A1050" s="135"/>
      <c r="B1050" s="136"/>
      <c r="C1050" s="136"/>
      <c r="D1050" s="136"/>
      <c r="E1050" s="136"/>
      <c r="F1050" s="137"/>
      <c r="G1050" s="136"/>
      <c r="H1050" s="135"/>
      <c r="I1050" s="133"/>
    </row>
    <row r="1051" spans="1:9" x14ac:dyDescent="0.25">
      <c r="A1051" s="135"/>
      <c r="B1051" s="136"/>
      <c r="C1051" s="136"/>
      <c r="D1051" s="136"/>
      <c r="E1051" s="136"/>
      <c r="F1051" s="137"/>
      <c r="G1051" s="136"/>
      <c r="H1051" s="135"/>
      <c r="I1051" s="133"/>
    </row>
    <row r="1052" spans="1:9" x14ac:dyDescent="0.25">
      <c r="A1052" s="135"/>
      <c r="B1052" s="136"/>
      <c r="C1052" s="136"/>
      <c r="D1052" s="136"/>
      <c r="E1052" s="136"/>
      <c r="F1052" s="137"/>
      <c r="G1052" s="136"/>
      <c r="H1052" s="135"/>
      <c r="I1052" s="133"/>
    </row>
    <row r="1053" spans="1:9" x14ac:dyDescent="0.25">
      <c r="A1053" s="135"/>
      <c r="B1053" s="136"/>
      <c r="C1053" s="136"/>
      <c r="D1053" s="136"/>
      <c r="E1053" s="136"/>
      <c r="F1053" s="137"/>
      <c r="G1053" s="136"/>
      <c r="H1053" s="135"/>
      <c r="I1053" s="133"/>
    </row>
    <row r="1054" spans="1:9" x14ac:dyDescent="0.25">
      <c r="A1054" s="135"/>
      <c r="B1054" s="136"/>
      <c r="C1054" s="136"/>
      <c r="D1054" s="136"/>
      <c r="E1054" s="136"/>
      <c r="F1054" s="137"/>
      <c r="G1054" s="136"/>
      <c r="H1054" s="135"/>
      <c r="I1054" s="133"/>
    </row>
    <row r="1055" spans="1:9" x14ac:dyDescent="0.25">
      <c r="A1055" s="135"/>
      <c r="B1055" s="136"/>
      <c r="C1055" s="136"/>
      <c r="D1055" s="136"/>
      <c r="E1055" s="136"/>
      <c r="F1055" s="137"/>
      <c r="G1055" s="136"/>
      <c r="H1055" s="135"/>
      <c r="I1055" s="133"/>
    </row>
    <row r="1056" spans="1:9" x14ac:dyDescent="0.25">
      <c r="A1056" s="135"/>
      <c r="B1056" s="136"/>
      <c r="C1056" s="136"/>
      <c r="D1056" s="136"/>
      <c r="E1056" s="136"/>
      <c r="F1056" s="137"/>
      <c r="G1056" s="136"/>
      <c r="H1056" s="135"/>
      <c r="I1056" s="133"/>
    </row>
    <row r="1057" spans="1:9" x14ac:dyDescent="0.25">
      <c r="A1057" s="135"/>
      <c r="B1057" s="136"/>
      <c r="C1057" s="136"/>
      <c r="D1057" s="136"/>
      <c r="E1057" s="136"/>
      <c r="F1057" s="137"/>
      <c r="G1057" s="136"/>
      <c r="H1057" s="135"/>
      <c r="I1057" s="133"/>
    </row>
    <row r="1058" spans="1:9" x14ac:dyDescent="0.25">
      <c r="A1058" s="135"/>
      <c r="B1058" s="136"/>
      <c r="C1058" s="136"/>
      <c r="D1058" s="136"/>
      <c r="E1058" s="136"/>
      <c r="F1058" s="137"/>
      <c r="G1058" s="136"/>
      <c r="H1058" s="135"/>
      <c r="I1058" s="133"/>
    </row>
    <row r="1059" spans="1:9" x14ac:dyDescent="0.25">
      <c r="A1059" s="135"/>
      <c r="B1059" s="136"/>
      <c r="C1059" s="136"/>
      <c r="D1059" s="136"/>
      <c r="E1059" s="136"/>
      <c r="F1059" s="137"/>
      <c r="G1059" s="136"/>
      <c r="H1059" s="135"/>
      <c r="I1059" s="133"/>
    </row>
    <row r="1060" spans="1:9" x14ac:dyDescent="0.25">
      <c r="A1060" s="135"/>
      <c r="B1060" s="136"/>
      <c r="C1060" s="136"/>
      <c r="D1060" s="136"/>
      <c r="E1060" s="136"/>
      <c r="F1060" s="137"/>
      <c r="G1060" s="136"/>
      <c r="H1060" s="135"/>
      <c r="I1060" s="133"/>
    </row>
    <row r="1061" spans="1:9" x14ac:dyDescent="0.25">
      <c r="A1061" s="135"/>
      <c r="B1061" s="136"/>
      <c r="C1061" s="136"/>
      <c r="D1061" s="136"/>
      <c r="E1061" s="136"/>
      <c r="F1061" s="137"/>
      <c r="G1061" s="136"/>
      <c r="H1061" s="135"/>
      <c r="I1061" s="133"/>
    </row>
    <row r="1062" spans="1:9" x14ac:dyDescent="0.25">
      <c r="A1062" s="135"/>
      <c r="B1062" s="136"/>
      <c r="C1062" s="136"/>
      <c r="D1062" s="136"/>
      <c r="E1062" s="136"/>
      <c r="F1062" s="137"/>
      <c r="G1062" s="136"/>
      <c r="H1062" s="135"/>
      <c r="I1062" s="133"/>
    </row>
    <row r="1063" spans="1:9" x14ac:dyDescent="0.25">
      <c r="A1063" s="135"/>
      <c r="B1063" s="136"/>
      <c r="C1063" s="136"/>
      <c r="D1063" s="136"/>
      <c r="E1063" s="136"/>
      <c r="F1063" s="137"/>
      <c r="G1063" s="136"/>
      <c r="H1063" s="135"/>
      <c r="I1063" s="133"/>
    </row>
    <row r="1064" spans="1:9" x14ac:dyDescent="0.25">
      <c r="A1064" s="135"/>
      <c r="B1064" s="136"/>
      <c r="C1064" s="136"/>
      <c r="D1064" s="136"/>
      <c r="E1064" s="136"/>
      <c r="F1064" s="137"/>
      <c r="G1064" s="136"/>
      <c r="H1064" s="135"/>
      <c r="I1064" s="133"/>
    </row>
    <row r="1065" spans="1:9" x14ac:dyDescent="0.25">
      <c r="A1065" s="135"/>
      <c r="B1065" s="136"/>
      <c r="C1065" s="136"/>
      <c r="D1065" s="136"/>
      <c r="E1065" s="136"/>
      <c r="F1065" s="137"/>
      <c r="G1065" s="136"/>
      <c r="H1065" s="135"/>
      <c r="I1065" s="133"/>
    </row>
    <row r="1066" spans="1:9" x14ac:dyDescent="0.25">
      <c r="A1066" s="135"/>
      <c r="B1066" s="136"/>
      <c r="C1066" s="136"/>
      <c r="D1066" s="136"/>
      <c r="E1066" s="136"/>
      <c r="F1066" s="137"/>
      <c r="G1066" s="136"/>
      <c r="H1066" s="135"/>
      <c r="I1066" s="133"/>
    </row>
    <row r="1067" spans="1:9" x14ac:dyDescent="0.25">
      <c r="A1067" s="135"/>
      <c r="B1067" s="136"/>
      <c r="C1067" s="136"/>
      <c r="D1067" s="136"/>
      <c r="E1067" s="136"/>
      <c r="F1067" s="137"/>
      <c r="G1067" s="136"/>
      <c r="H1067" s="135"/>
      <c r="I1067" s="133"/>
    </row>
    <row r="1068" spans="1:9" x14ac:dyDescent="0.25">
      <c r="A1068" s="135"/>
      <c r="B1068" s="136"/>
      <c r="C1068" s="136"/>
      <c r="D1068" s="136"/>
      <c r="E1068" s="136"/>
      <c r="F1068" s="137"/>
      <c r="G1068" s="136"/>
      <c r="H1068" s="135"/>
      <c r="I1068" s="133"/>
    </row>
    <row r="1069" spans="1:9" x14ac:dyDescent="0.25">
      <c r="A1069" s="135"/>
      <c r="B1069" s="136"/>
      <c r="C1069" s="136"/>
      <c r="D1069" s="136"/>
      <c r="E1069" s="136"/>
      <c r="F1069" s="137"/>
      <c r="G1069" s="136"/>
      <c r="H1069" s="135"/>
      <c r="I1069" s="133"/>
    </row>
    <row r="1070" spans="1:9" x14ac:dyDescent="0.25">
      <c r="A1070" s="135"/>
      <c r="B1070" s="136"/>
      <c r="C1070" s="136"/>
      <c r="D1070" s="136"/>
      <c r="E1070" s="136"/>
      <c r="F1070" s="137"/>
      <c r="G1070" s="136"/>
      <c r="H1070" s="135"/>
      <c r="I1070" s="133"/>
    </row>
    <row r="1071" spans="1:9" x14ac:dyDescent="0.25">
      <c r="A1071" s="135"/>
      <c r="B1071" s="136"/>
      <c r="C1071" s="136"/>
      <c r="D1071" s="136"/>
      <c r="E1071" s="136"/>
      <c r="F1071" s="137"/>
      <c r="G1071" s="136"/>
      <c r="H1071" s="135"/>
      <c r="I1071" s="133"/>
    </row>
    <row r="1072" spans="1:9" x14ac:dyDescent="0.25">
      <c r="A1072" s="135"/>
      <c r="B1072" s="136"/>
      <c r="C1072" s="136"/>
      <c r="D1072" s="136"/>
      <c r="E1072" s="136"/>
      <c r="F1072" s="137"/>
      <c r="G1072" s="136"/>
      <c r="H1072" s="135"/>
      <c r="I1072" s="133"/>
    </row>
    <row r="1073" spans="1:9" x14ac:dyDescent="0.25">
      <c r="A1073" s="135"/>
      <c r="B1073" s="136"/>
      <c r="C1073" s="136"/>
      <c r="D1073" s="136"/>
      <c r="E1073" s="136"/>
      <c r="F1073" s="137"/>
      <c r="G1073" s="136"/>
      <c r="H1073" s="135"/>
      <c r="I1073" s="133"/>
    </row>
    <row r="1074" spans="1:9" x14ac:dyDescent="0.25">
      <c r="A1074" s="135"/>
      <c r="B1074" s="136"/>
      <c r="C1074" s="136"/>
      <c r="D1074" s="136"/>
      <c r="E1074" s="136"/>
      <c r="F1074" s="137"/>
      <c r="G1074" s="136"/>
      <c r="H1074" s="135"/>
      <c r="I1074" s="133"/>
    </row>
    <row r="1075" spans="1:9" x14ac:dyDescent="0.25">
      <c r="A1075" s="135"/>
      <c r="B1075" s="136"/>
      <c r="C1075" s="136"/>
      <c r="D1075" s="136"/>
      <c r="E1075" s="136"/>
      <c r="F1075" s="137"/>
      <c r="G1075" s="136"/>
      <c r="H1075" s="135"/>
      <c r="I1075" s="133"/>
    </row>
    <row r="1076" spans="1:9" x14ac:dyDescent="0.25">
      <c r="A1076" s="135"/>
      <c r="B1076" s="136"/>
      <c r="C1076" s="136"/>
      <c r="D1076" s="136"/>
      <c r="E1076" s="136"/>
      <c r="F1076" s="137"/>
      <c r="G1076" s="136"/>
      <c r="H1076" s="135"/>
      <c r="I1076" s="133"/>
    </row>
    <row r="1077" spans="1:9" x14ac:dyDescent="0.25">
      <c r="A1077" s="135"/>
      <c r="B1077" s="136"/>
      <c r="C1077" s="136"/>
      <c r="D1077" s="136"/>
      <c r="E1077" s="136"/>
      <c r="F1077" s="137"/>
      <c r="G1077" s="136"/>
      <c r="H1077" s="135"/>
      <c r="I1077" s="133"/>
    </row>
    <row r="1078" spans="1:9" x14ac:dyDescent="0.25">
      <c r="A1078" s="135"/>
      <c r="B1078" s="136"/>
      <c r="C1078" s="136"/>
      <c r="D1078" s="136"/>
      <c r="E1078" s="136"/>
      <c r="F1078" s="137"/>
      <c r="G1078" s="136"/>
      <c r="H1078" s="135"/>
      <c r="I1078" s="133"/>
    </row>
    <row r="1079" spans="1:9" x14ac:dyDescent="0.25">
      <c r="A1079" s="135"/>
      <c r="B1079" s="136"/>
      <c r="C1079" s="136"/>
      <c r="D1079" s="136"/>
      <c r="E1079" s="136"/>
      <c r="F1079" s="137"/>
      <c r="G1079" s="136"/>
      <c r="H1079" s="135"/>
      <c r="I1079" s="133"/>
    </row>
    <row r="1080" spans="1:9" x14ac:dyDescent="0.25">
      <c r="A1080" s="135"/>
      <c r="B1080" s="136"/>
      <c r="C1080" s="136"/>
      <c r="D1080" s="136"/>
      <c r="E1080" s="136"/>
      <c r="F1080" s="137"/>
      <c r="G1080" s="136"/>
      <c r="H1080" s="135"/>
      <c r="I1080" s="133"/>
    </row>
    <row r="1081" spans="1:9" x14ac:dyDescent="0.25">
      <c r="A1081" s="135"/>
      <c r="B1081" s="136"/>
      <c r="C1081" s="136"/>
      <c r="D1081" s="136"/>
      <c r="E1081" s="136"/>
      <c r="F1081" s="137"/>
      <c r="G1081" s="136"/>
      <c r="H1081" s="135"/>
      <c r="I1081" s="133"/>
    </row>
    <row r="1082" spans="1:9" x14ac:dyDescent="0.25">
      <c r="A1082" s="135"/>
      <c r="B1082" s="136"/>
      <c r="C1082" s="136"/>
      <c r="D1082" s="136"/>
      <c r="E1082" s="136"/>
      <c r="F1082" s="137"/>
      <c r="G1082" s="136"/>
      <c r="H1082" s="135"/>
      <c r="I1082" s="133"/>
    </row>
    <row r="1083" spans="1:9" x14ac:dyDescent="0.25">
      <c r="A1083" s="135"/>
      <c r="B1083" s="136"/>
      <c r="C1083" s="136"/>
      <c r="D1083" s="136"/>
      <c r="E1083" s="136"/>
      <c r="F1083" s="137"/>
      <c r="G1083" s="136"/>
      <c r="H1083" s="135"/>
      <c r="I1083" s="133"/>
    </row>
    <row r="1084" spans="1:9" x14ac:dyDescent="0.25">
      <c r="A1084" s="135"/>
      <c r="B1084" s="136"/>
      <c r="C1084" s="136"/>
      <c r="D1084" s="136"/>
      <c r="E1084" s="136"/>
      <c r="F1084" s="137"/>
      <c r="G1084" s="136"/>
      <c r="H1084" s="135"/>
      <c r="I1084" s="133"/>
    </row>
    <row r="1085" spans="1:9" x14ac:dyDescent="0.25">
      <c r="A1085" s="135"/>
      <c r="B1085" s="136"/>
      <c r="C1085" s="136"/>
      <c r="D1085" s="136"/>
      <c r="E1085" s="136"/>
      <c r="F1085" s="137"/>
      <c r="G1085" s="136"/>
      <c r="H1085" s="135"/>
      <c r="I1085" s="133"/>
    </row>
    <row r="1086" spans="1:9" x14ac:dyDescent="0.25">
      <c r="A1086" s="135"/>
      <c r="B1086" s="136"/>
      <c r="C1086" s="136"/>
      <c r="D1086" s="136"/>
      <c r="E1086" s="136"/>
      <c r="F1086" s="137"/>
      <c r="G1086" s="136"/>
      <c r="H1086" s="135"/>
      <c r="I1086" s="133"/>
    </row>
    <row r="1087" spans="1:9" x14ac:dyDescent="0.25">
      <c r="A1087" s="135"/>
      <c r="B1087" s="136"/>
      <c r="C1087" s="136"/>
      <c r="D1087" s="136"/>
      <c r="E1087" s="136"/>
      <c r="F1087" s="137"/>
      <c r="G1087" s="136"/>
      <c r="H1087" s="135"/>
      <c r="I1087" s="133"/>
    </row>
    <row r="1088" spans="1:9" x14ac:dyDescent="0.25">
      <c r="A1088" s="135"/>
      <c r="B1088" s="136"/>
      <c r="C1088" s="136"/>
      <c r="D1088" s="136"/>
      <c r="E1088" s="136"/>
      <c r="F1088" s="137"/>
      <c r="G1088" s="136"/>
      <c r="H1088" s="135"/>
      <c r="I1088" s="133"/>
    </row>
    <row r="1089" spans="1:9" x14ac:dyDescent="0.25">
      <c r="A1089" s="135"/>
      <c r="B1089" s="136"/>
      <c r="C1089" s="136"/>
      <c r="D1089" s="136"/>
      <c r="E1089" s="136"/>
      <c r="F1089" s="137"/>
      <c r="G1089" s="136"/>
      <c r="H1089" s="135"/>
      <c r="I1089" s="133"/>
    </row>
    <row r="1090" spans="1:9" x14ac:dyDescent="0.25">
      <c r="A1090" s="135"/>
      <c r="B1090" s="136"/>
      <c r="C1090" s="136"/>
      <c r="D1090" s="136"/>
      <c r="E1090" s="136"/>
      <c r="F1090" s="137"/>
      <c r="G1090" s="136"/>
      <c r="H1090" s="135"/>
      <c r="I1090" s="133"/>
    </row>
    <row r="1091" spans="1:9" x14ac:dyDescent="0.25">
      <c r="A1091" s="135"/>
      <c r="B1091" s="136"/>
      <c r="C1091" s="136"/>
      <c r="D1091" s="136"/>
      <c r="E1091" s="136"/>
      <c r="F1091" s="137"/>
      <c r="G1091" s="136"/>
      <c r="H1091" s="135"/>
      <c r="I1091" s="133"/>
    </row>
    <row r="1092" spans="1:9" x14ac:dyDescent="0.25">
      <c r="A1092" s="135"/>
      <c r="B1092" s="136"/>
      <c r="C1092" s="136"/>
      <c r="D1092" s="136"/>
      <c r="E1092" s="136"/>
      <c r="F1092" s="137"/>
      <c r="G1092" s="136"/>
      <c r="H1092" s="135"/>
      <c r="I1092" s="133"/>
    </row>
    <row r="1093" spans="1:9" x14ac:dyDescent="0.25">
      <c r="A1093" s="135"/>
      <c r="B1093" s="136"/>
      <c r="C1093" s="136"/>
      <c r="D1093" s="136"/>
      <c r="E1093" s="136"/>
      <c r="F1093" s="137"/>
      <c r="G1093" s="136"/>
      <c r="H1093" s="135"/>
      <c r="I1093" s="133"/>
    </row>
    <row r="1094" spans="1:9" x14ac:dyDescent="0.25">
      <c r="A1094" s="135"/>
      <c r="B1094" s="136"/>
      <c r="C1094" s="136"/>
      <c r="D1094" s="136"/>
      <c r="E1094" s="136"/>
      <c r="F1094" s="137"/>
      <c r="G1094" s="136"/>
      <c r="H1094" s="135"/>
      <c r="I1094" s="133"/>
    </row>
    <row r="1095" spans="1:9" x14ac:dyDescent="0.25">
      <c r="A1095" s="135"/>
      <c r="B1095" s="136"/>
      <c r="C1095" s="136"/>
      <c r="D1095" s="136"/>
      <c r="E1095" s="136"/>
      <c r="F1095" s="137"/>
      <c r="G1095" s="136"/>
      <c r="H1095" s="135"/>
      <c r="I1095" s="133"/>
    </row>
    <row r="1096" spans="1:9" x14ac:dyDescent="0.25">
      <c r="A1096" s="135"/>
      <c r="B1096" s="136"/>
      <c r="C1096" s="136"/>
      <c r="D1096" s="136"/>
      <c r="E1096" s="136"/>
      <c r="F1096" s="137"/>
      <c r="G1096" s="136"/>
      <c r="H1096" s="135"/>
      <c r="I1096" s="133"/>
    </row>
    <row r="1097" spans="1:9" x14ac:dyDescent="0.25">
      <c r="A1097" s="135"/>
      <c r="B1097" s="136"/>
      <c r="C1097" s="136"/>
      <c r="D1097" s="136"/>
      <c r="E1097" s="136"/>
      <c r="F1097" s="137"/>
      <c r="G1097" s="136"/>
      <c r="H1097" s="135"/>
      <c r="I1097" s="133"/>
    </row>
    <row r="1098" spans="1:9" x14ac:dyDescent="0.25">
      <c r="A1098" s="135"/>
      <c r="B1098" s="136"/>
      <c r="C1098" s="136"/>
      <c r="D1098" s="136"/>
      <c r="E1098" s="136"/>
      <c r="F1098" s="137"/>
      <c r="G1098" s="136"/>
      <c r="H1098" s="135"/>
      <c r="I1098" s="133"/>
    </row>
    <row r="1099" spans="1:9" x14ac:dyDescent="0.25">
      <c r="A1099" s="135"/>
      <c r="B1099" s="136"/>
      <c r="C1099" s="136"/>
      <c r="D1099" s="136"/>
      <c r="E1099" s="136"/>
      <c r="F1099" s="137"/>
      <c r="G1099" s="136"/>
      <c r="H1099" s="135"/>
      <c r="I1099" s="133"/>
    </row>
    <row r="1100" spans="1:9" x14ac:dyDescent="0.25">
      <c r="A1100" s="135"/>
      <c r="B1100" s="136"/>
      <c r="C1100" s="136"/>
      <c r="D1100" s="136"/>
      <c r="E1100" s="136"/>
      <c r="F1100" s="137"/>
      <c r="G1100" s="136"/>
      <c r="H1100" s="135"/>
      <c r="I1100" s="133"/>
    </row>
    <row r="1101" spans="1:9" x14ac:dyDescent="0.25">
      <c r="A1101" s="135"/>
      <c r="B1101" s="136"/>
      <c r="C1101" s="136"/>
      <c r="D1101" s="136"/>
      <c r="E1101" s="136"/>
      <c r="F1101" s="137"/>
      <c r="G1101" s="136"/>
      <c r="H1101" s="135"/>
      <c r="I1101" s="133"/>
    </row>
    <row r="1102" spans="1:9" x14ac:dyDescent="0.25">
      <c r="A1102" s="135"/>
      <c r="B1102" s="136"/>
      <c r="C1102" s="136"/>
      <c r="D1102" s="136"/>
      <c r="E1102" s="136"/>
      <c r="F1102" s="137"/>
      <c r="G1102" s="136"/>
      <c r="H1102" s="135"/>
      <c r="I1102" s="133"/>
    </row>
    <row r="1103" spans="1:9" x14ac:dyDescent="0.25">
      <c r="A1103" s="135"/>
      <c r="B1103" s="136"/>
      <c r="C1103" s="136"/>
      <c r="D1103" s="136"/>
      <c r="E1103" s="136"/>
      <c r="F1103" s="137"/>
      <c r="G1103" s="136"/>
      <c r="H1103" s="135"/>
      <c r="I1103" s="133"/>
    </row>
    <row r="1104" spans="1:9" x14ac:dyDescent="0.25">
      <c r="A1104" s="135"/>
      <c r="B1104" s="136"/>
      <c r="C1104" s="136"/>
      <c r="D1104" s="136"/>
      <c r="E1104" s="136"/>
      <c r="F1104" s="137"/>
      <c r="G1104" s="136"/>
      <c r="H1104" s="135"/>
      <c r="I1104" s="133"/>
    </row>
    <row r="1105" spans="1:9" x14ac:dyDescent="0.25">
      <c r="A1105" s="135"/>
      <c r="B1105" s="136"/>
      <c r="C1105" s="136"/>
      <c r="D1105" s="136"/>
      <c r="E1105" s="136"/>
      <c r="F1105" s="137"/>
      <c r="G1105" s="136"/>
      <c r="H1105" s="135"/>
      <c r="I1105" s="133"/>
    </row>
    <row r="1106" spans="1:9" x14ac:dyDescent="0.25">
      <c r="A1106" s="135"/>
      <c r="B1106" s="136"/>
      <c r="C1106" s="136"/>
      <c r="D1106" s="136"/>
      <c r="E1106" s="136"/>
      <c r="F1106" s="137"/>
      <c r="G1106" s="136"/>
      <c r="H1106" s="135"/>
      <c r="I1106" s="133"/>
    </row>
    <row r="1107" spans="1:9" x14ac:dyDescent="0.25">
      <c r="A1107" s="135"/>
      <c r="B1107" s="136"/>
      <c r="C1107" s="136"/>
      <c r="D1107" s="136"/>
      <c r="E1107" s="136"/>
      <c r="F1107" s="137"/>
      <c r="G1107" s="136"/>
      <c r="H1107" s="135"/>
      <c r="I1107" s="133"/>
    </row>
    <row r="1108" spans="1:9" x14ac:dyDescent="0.25">
      <c r="A1108" s="135"/>
      <c r="B1108" s="136"/>
      <c r="C1108" s="136"/>
      <c r="D1108" s="136"/>
      <c r="E1108" s="136"/>
      <c r="F1108" s="137"/>
      <c r="G1108" s="136"/>
      <c r="H1108" s="135"/>
      <c r="I1108" s="133"/>
    </row>
    <row r="1109" spans="1:9" x14ac:dyDescent="0.25">
      <c r="A1109" s="135"/>
      <c r="B1109" s="136"/>
      <c r="C1109" s="136"/>
      <c r="D1109" s="136"/>
      <c r="E1109" s="136"/>
      <c r="F1109" s="137"/>
      <c r="G1109" s="136"/>
      <c r="H1109" s="135"/>
      <c r="I1109" s="133"/>
    </row>
    <row r="1110" spans="1:9" x14ac:dyDescent="0.25">
      <c r="A1110" s="135"/>
      <c r="B1110" s="136"/>
      <c r="C1110" s="136"/>
      <c r="D1110" s="136"/>
      <c r="E1110" s="136"/>
      <c r="F1110" s="137"/>
      <c r="G1110" s="136"/>
      <c r="H1110" s="135"/>
      <c r="I1110" s="133"/>
    </row>
    <row r="1111" spans="1:9" x14ac:dyDescent="0.25">
      <c r="A1111" s="135"/>
      <c r="B1111" s="136"/>
      <c r="C1111" s="136"/>
      <c r="D1111" s="136"/>
      <c r="E1111" s="136"/>
      <c r="F1111" s="137"/>
      <c r="G1111" s="136"/>
      <c r="H1111" s="135"/>
      <c r="I1111" s="133"/>
    </row>
    <row r="1112" spans="1:9" x14ac:dyDescent="0.25">
      <c r="A1112" s="135"/>
      <c r="B1112" s="136"/>
      <c r="C1112" s="136"/>
      <c r="D1112" s="136"/>
      <c r="E1112" s="136"/>
      <c r="F1112" s="137"/>
      <c r="G1112" s="136"/>
      <c r="H1112" s="135"/>
      <c r="I1112" s="133"/>
    </row>
    <row r="1113" spans="1:9" x14ac:dyDescent="0.25">
      <c r="A1113" s="135"/>
      <c r="B1113" s="136"/>
      <c r="C1113" s="136"/>
      <c r="D1113" s="136"/>
      <c r="E1113" s="136"/>
      <c r="F1113" s="137"/>
      <c r="G1113" s="136"/>
      <c r="H1113" s="135"/>
      <c r="I1113" s="133"/>
    </row>
    <row r="1114" spans="1:9" x14ac:dyDescent="0.25">
      <c r="A1114" s="135"/>
      <c r="B1114" s="136"/>
      <c r="C1114" s="136"/>
      <c r="D1114" s="136"/>
      <c r="E1114" s="136"/>
      <c r="F1114" s="137"/>
      <c r="G1114" s="136"/>
      <c r="H1114" s="135"/>
      <c r="I1114" s="133"/>
    </row>
    <row r="1115" spans="1:9" x14ac:dyDescent="0.25">
      <c r="A1115" s="135"/>
      <c r="B1115" s="136"/>
      <c r="C1115" s="136"/>
      <c r="D1115" s="136"/>
      <c r="E1115" s="136"/>
      <c r="F1115" s="137"/>
      <c r="G1115" s="136"/>
      <c r="H1115" s="135"/>
      <c r="I1115" s="133"/>
    </row>
    <row r="1116" spans="1:9" x14ac:dyDescent="0.25">
      <c r="A1116" s="135"/>
      <c r="B1116" s="136"/>
      <c r="C1116" s="136"/>
      <c r="D1116" s="136"/>
      <c r="E1116" s="136"/>
      <c r="F1116" s="137"/>
      <c r="G1116" s="136"/>
      <c r="H1116" s="135"/>
      <c r="I1116" s="133"/>
    </row>
    <row r="1117" spans="1:9" x14ac:dyDescent="0.25">
      <c r="A1117" s="135"/>
      <c r="B1117" s="136"/>
      <c r="C1117" s="136"/>
      <c r="D1117" s="136"/>
      <c r="E1117" s="136"/>
      <c r="F1117" s="137"/>
      <c r="G1117" s="136"/>
      <c r="H1117" s="135"/>
      <c r="I1117" s="133"/>
    </row>
    <row r="1118" spans="1:9" x14ac:dyDescent="0.25">
      <c r="A1118" s="135"/>
      <c r="B1118" s="136"/>
      <c r="C1118" s="136"/>
      <c r="D1118" s="136"/>
      <c r="E1118" s="136"/>
      <c r="F1118" s="137"/>
      <c r="G1118" s="136"/>
      <c r="H1118" s="135"/>
      <c r="I1118" s="133"/>
    </row>
    <row r="1119" spans="1:9" x14ac:dyDescent="0.25">
      <c r="A1119" s="135"/>
      <c r="B1119" s="136"/>
      <c r="C1119" s="136"/>
      <c r="D1119" s="136"/>
      <c r="E1119" s="136"/>
      <c r="F1119" s="137"/>
      <c r="G1119" s="136"/>
      <c r="H1119" s="135"/>
      <c r="I1119" s="133"/>
    </row>
    <row r="1120" spans="1:9" x14ac:dyDescent="0.25">
      <c r="A1120" s="135"/>
      <c r="B1120" s="136"/>
      <c r="C1120" s="136"/>
      <c r="D1120" s="136"/>
      <c r="E1120" s="136"/>
      <c r="F1120" s="137"/>
      <c r="G1120" s="136"/>
      <c r="H1120" s="135"/>
      <c r="I1120" s="133"/>
    </row>
    <row r="1121" spans="1:9" x14ac:dyDescent="0.25">
      <c r="A1121" s="135"/>
      <c r="B1121" s="136"/>
      <c r="C1121" s="136"/>
      <c r="D1121" s="136"/>
      <c r="E1121" s="136"/>
      <c r="F1121" s="137"/>
      <c r="G1121" s="136"/>
      <c r="H1121" s="135"/>
      <c r="I1121" s="133"/>
    </row>
    <row r="1122" spans="1:9" x14ac:dyDescent="0.25">
      <c r="A1122" s="135"/>
      <c r="B1122" s="136"/>
      <c r="C1122" s="136"/>
      <c r="D1122" s="136"/>
      <c r="E1122" s="136"/>
      <c r="F1122" s="137"/>
      <c r="G1122" s="136"/>
      <c r="H1122" s="135"/>
      <c r="I1122" s="133"/>
    </row>
    <row r="1123" spans="1:9" x14ac:dyDescent="0.25">
      <c r="A1123" s="135"/>
      <c r="B1123" s="136"/>
      <c r="C1123" s="136"/>
      <c r="D1123" s="136"/>
      <c r="E1123" s="136"/>
      <c r="F1123" s="137"/>
      <c r="G1123" s="136"/>
      <c r="H1123" s="135"/>
      <c r="I1123" s="133"/>
    </row>
    <row r="1124" spans="1:9" x14ac:dyDescent="0.25">
      <c r="A1124" s="135"/>
      <c r="B1124" s="136"/>
      <c r="C1124" s="136"/>
      <c r="D1124" s="136"/>
      <c r="E1124" s="136"/>
      <c r="F1124" s="137"/>
      <c r="G1124" s="136"/>
      <c r="H1124" s="135"/>
      <c r="I1124" s="133"/>
    </row>
    <row r="1125" spans="1:9" x14ac:dyDescent="0.25">
      <c r="A1125" s="135"/>
      <c r="B1125" s="136"/>
      <c r="C1125" s="136"/>
      <c r="D1125" s="136"/>
      <c r="E1125" s="136"/>
      <c r="F1125" s="137"/>
      <c r="G1125" s="136"/>
      <c r="H1125" s="135"/>
      <c r="I1125" s="133"/>
    </row>
    <row r="1126" spans="1:9" x14ac:dyDescent="0.25">
      <c r="A1126" s="135"/>
      <c r="B1126" s="136"/>
      <c r="C1126" s="136"/>
      <c r="D1126" s="136"/>
      <c r="E1126" s="136"/>
      <c r="F1126" s="137"/>
      <c r="G1126" s="136"/>
      <c r="H1126" s="135"/>
      <c r="I1126" s="133"/>
    </row>
    <row r="1127" spans="1:9" x14ac:dyDescent="0.25">
      <c r="A1127" s="135"/>
      <c r="B1127" s="136"/>
      <c r="C1127" s="136"/>
      <c r="D1127" s="136"/>
      <c r="E1127" s="136"/>
      <c r="F1127" s="137"/>
      <c r="G1127" s="136"/>
      <c r="H1127" s="135"/>
      <c r="I1127" s="133"/>
    </row>
    <row r="1128" spans="1:9" x14ac:dyDescent="0.25">
      <c r="A1128" s="135"/>
      <c r="B1128" s="136"/>
      <c r="C1128" s="136"/>
      <c r="D1128" s="136"/>
      <c r="E1128" s="136"/>
      <c r="F1128" s="137"/>
      <c r="G1128" s="136"/>
      <c r="H1128" s="135"/>
      <c r="I1128" s="133"/>
    </row>
    <row r="1129" spans="1:9" x14ac:dyDescent="0.25">
      <c r="A1129" s="135"/>
      <c r="B1129" s="136"/>
      <c r="C1129" s="136"/>
      <c r="D1129" s="136"/>
      <c r="E1129" s="136"/>
      <c r="F1129" s="137"/>
      <c r="G1129" s="136"/>
      <c r="H1129" s="135"/>
      <c r="I1129" s="133"/>
    </row>
    <row r="1130" spans="1:9" x14ac:dyDescent="0.25">
      <c r="A1130" s="135"/>
      <c r="B1130" s="136"/>
      <c r="C1130" s="136"/>
      <c r="D1130" s="136"/>
      <c r="E1130" s="136"/>
      <c r="F1130" s="137"/>
      <c r="G1130" s="136"/>
      <c r="H1130" s="135"/>
      <c r="I1130" s="133"/>
    </row>
    <row r="1131" spans="1:9" x14ac:dyDescent="0.25">
      <c r="A1131" s="135"/>
      <c r="B1131" s="136"/>
      <c r="C1131" s="136"/>
      <c r="D1131" s="136"/>
      <c r="E1131" s="136"/>
      <c r="F1131" s="137"/>
      <c r="G1131" s="136"/>
      <c r="H1131" s="135"/>
      <c r="I1131" s="133"/>
    </row>
    <row r="1132" spans="1:9" x14ac:dyDescent="0.25">
      <c r="A1132" s="135"/>
      <c r="B1132" s="136"/>
      <c r="C1132" s="136"/>
      <c r="D1132" s="136"/>
      <c r="E1132" s="136"/>
      <c r="F1132" s="137"/>
      <c r="G1132" s="136"/>
      <c r="H1132" s="135"/>
      <c r="I1132" s="133"/>
    </row>
    <row r="1133" spans="1:9" x14ac:dyDescent="0.25">
      <c r="A1133" s="135"/>
      <c r="B1133" s="136"/>
      <c r="C1133" s="136"/>
      <c r="D1133" s="136"/>
      <c r="E1133" s="136"/>
      <c r="F1133" s="137"/>
      <c r="G1133" s="136"/>
      <c r="H1133" s="135"/>
      <c r="I1133" s="133"/>
    </row>
    <row r="1134" spans="1:9" x14ac:dyDescent="0.25">
      <c r="A1134" s="135"/>
      <c r="B1134" s="136"/>
      <c r="C1134" s="136"/>
      <c r="D1134" s="136"/>
      <c r="E1134" s="136"/>
      <c r="F1134" s="137"/>
      <c r="G1134" s="136"/>
      <c r="H1134" s="135"/>
      <c r="I1134" s="133"/>
    </row>
    <row r="1135" spans="1:9" x14ac:dyDescent="0.25">
      <c r="A1135" s="135"/>
      <c r="B1135" s="136"/>
      <c r="C1135" s="136"/>
      <c r="D1135" s="136"/>
      <c r="E1135" s="136"/>
      <c r="F1135" s="137"/>
      <c r="G1135" s="136"/>
      <c r="H1135" s="135"/>
      <c r="I1135" s="133"/>
    </row>
    <row r="1136" spans="1:9" x14ac:dyDescent="0.25">
      <c r="A1136" s="135"/>
      <c r="B1136" s="136"/>
      <c r="C1136" s="136"/>
      <c r="D1136" s="136"/>
      <c r="E1136" s="136"/>
      <c r="F1136" s="137"/>
      <c r="G1136" s="136"/>
      <c r="H1136" s="135"/>
      <c r="I1136" s="133"/>
    </row>
    <row r="1137" spans="1:9" x14ac:dyDescent="0.25">
      <c r="A1137" s="135"/>
      <c r="B1137" s="136"/>
      <c r="C1137" s="136"/>
      <c r="D1137" s="136"/>
      <c r="E1137" s="136"/>
      <c r="F1137" s="137"/>
      <c r="G1137" s="136"/>
      <c r="H1137" s="135"/>
      <c r="I1137" s="133"/>
    </row>
    <row r="1138" spans="1:9" x14ac:dyDescent="0.25">
      <c r="A1138" s="135"/>
      <c r="B1138" s="136"/>
      <c r="C1138" s="136"/>
      <c r="D1138" s="136"/>
      <c r="E1138" s="136"/>
      <c r="F1138" s="137"/>
      <c r="G1138" s="136"/>
      <c r="H1138" s="135"/>
      <c r="I1138" s="133"/>
    </row>
    <row r="1139" spans="1:9" x14ac:dyDescent="0.25">
      <c r="A1139" s="135"/>
      <c r="B1139" s="136"/>
      <c r="C1139" s="136"/>
      <c r="D1139" s="136"/>
      <c r="E1139" s="136"/>
      <c r="F1139" s="137"/>
      <c r="G1139" s="136"/>
      <c r="H1139" s="135"/>
      <c r="I1139" s="133"/>
    </row>
    <row r="1140" spans="1:9" x14ac:dyDescent="0.25">
      <c r="A1140" s="135"/>
      <c r="B1140" s="136"/>
      <c r="C1140" s="136"/>
      <c r="D1140" s="136"/>
      <c r="E1140" s="136"/>
      <c r="F1140" s="137"/>
      <c r="G1140" s="136"/>
      <c r="H1140" s="135"/>
      <c r="I1140" s="133"/>
    </row>
    <row r="1141" spans="1:9" x14ac:dyDescent="0.25">
      <c r="A1141" s="135"/>
      <c r="B1141" s="136"/>
      <c r="C1141" s="136"/>
      <c r="D1141" s="136"/>
      <c r="E1141" s="136"/>
      <c r="F1141" s="137"/>
      <c r="G1141" s="136"/>
      <c r="H1141" s="135"/>
      <c r="I1141" s="133"/>
    </row>
    <row r="1142" spans="1:9" x14ac:dyDescent="0.25">
      <c r="A1142" s="135"/>
      <c r="B1142" s="136"/>
      <c r="C1142" s="136"/>
      <c r="D1142" s="136"/>
      <c r="E1142" s="136"/>
      <c r="F1142" s="137"/>
      <c r="G1142" s="136"/>
      <c r="H1142" s="135"/>
      <c r="I1142" s="133"/>
    </row>
    <row r="1143" spans="1:9" x14ac:dyDescent="0.25">
      <c r="A1143" s="135"/>
      <c r="B1143" s="136"/>
      <c r="C1143" s="136"/>
      <c r="D1143" s="136"/>
      <c r="E1143" s="136"/>
      <c r="F1143" s="137"/>
      <c r="G1143" s="136"/>
      <c r="H1143" s="135"/>
      <c r="I1143" s="133"/>
    </row>
    <row r="1144" spans="1:9" x14ac:dyDescent="0.25">
      <c r="A1144" s="135"/>
      <c r="B1144" s="136"/>
      <c r="C1144" s="136"/>
      <c r="D1144" s="136"/>
      <c r="E1144" s="136"/>
      <c r="F1144" s="137"/>
      <c r="G1144" s="136"/>
      <c r="H1144" s="135"/>
      <c r="I1144" s="133"/>
    </row>
    <row r="1145" spans="1:9" x14ac:dyDescent="0.25">
      <c r="A1145" s="135"/>
      <c r="B1145" s="136"/>
      <c r="C1145" s="136"/>
      <c r="D1145" s="136"/>
      <c r="E1145" s="136"/>
      <c r="F1145" s="137"/>
      <c r="G1145" s="136"/>
      <c r="H1145" s="135"/>
      <c r="I1145" s="133"/>
    </row>
    <row r="1146" spans="1:9" x14ac:dyDescent="0.25">
      <c r="A1146" s="135"/>
      <c r="B1146" s="136"/>
      <c r="C1146" s="136"/>
      <c r="D1146" s="136"/>
      <c r="E1146" s="136"/>
      <c r="F1146" s="137"/>
      <c r="G1146" s="136"/>
      <c r="H1146" s="135"/>
      <c r="I1146" s="133"/>
    </row>
    <row r="1147" spans="1:9" x14ac:dyDescent="0.25">
      <c r="A1147" s="135"/>
      <c r="B1147" s="136"/>
      <c r="C1147" s="136"/>
      <c r="D1147" s="136"/>
      <c r="E1147" s="136"/>
      <c r="F1147" s="137"/>
      <c r="G1147" s="136"/>
      <c r="H1147" s="135"/>
      <c r="I1147" s="133"/>
    </row>
    <row r="1148" spans="1:9" x14ac:dyDescent="0.25">
      <c r="A1148" s="135"/>
      <c r="B1148" s="136"/>
      <c r="C1148" s="136"/>
      <c r="D1148" s="136"/>
      <c r="E1148" s="136"/>
      <c r="F1148" s="137"/>
      <c r="G1148" s="136"/>
      <c r="H1148" s="135"/>
      <c r="I1148" s="133"/>
    </row>
    <row r="1149" spans="1:9" x14ac:dyDescent="0.25">
      <c r="A1149" s="135"/>
      <c r="B1149" s="136"/>
      <c r="C1149" s="136"/>
      <c r="D1149" s="136"/>
      <c r="E1149" s="136"/>
      <c r="F1149" s="137"/>
      <c r="G1149" s="136"/>
      <c r="H1149" s="135"/>
      <c r="I1149" s="133"/>
    </row>
    <row r="1150" spans="1:9" x14ac:dyDescent="0.25">
      <c r="A1150" s="135"/>
      <c r="B1150" s="136"/>
      <c r="C1150" s="136"/>
      <c r="D1150" s="136"/>
      <c r="E1150" s="136"/>
      <c r="F1150" s="137"/>
      <c r="G1150" s="136"/>
      <c r="H1150" s="135"/>
      <c r="I1150" s="133"/>
    </row>
    <row r="1151" spans="1:9" x14ac:dyDescent="0.25">
      <c r="A1151" s="135"/>
      <c r="B1151" s="136"/>
      <c r="C1151" s="136"/>
      <c r="D1151" s="136"/>
      <c r="E1151" s="136"/>
      <c r="F1151" s="137"/>
      <c r="G1151" s="136"/>
      <c r="H1151" s="135"/>
      <c r="I1151" s="133"/>
    </row>
    <row r="1152" spans="1:9" x14ac:dyDescent="0.25">
      <c r="A1152" s="135"/>
      <c r="B1152" s="136"/>
      <c r="C1152" s="136"/>
      <c r="D1152" s="136"/>
      <c r="E1152" s="136"/>
      <c r="F1152" s="137"/>
      <c r="G1152" s="136"/>
      <c r="H1152" s="135"/>
      <c r="I1152" s="133"/>
    </row>
    <row r="1153" spans="1:9" x14ac:dyDescent="0.25">
      <c r="A1153" s="135"/>
      <c r="B1153" s="136"/>
      <c r="C1153" s="136"/>
      <c r="D1153" s="136"/>
      <c r="E1153" s="136"/>
      <c r="F1153" s="137"/>
      <c r="G1153" s="136"/>
      <c r="H1153" s="135"/>
      <c r="I1153" s="133"/>
    </row>
    <row r="1154" spans="1:9" x14ac:dyDescent="0.25">
      <c r="A1154" s="135"/>
      <c r="B1154" s="136"/>
      <c r="C1154" s="136"/>
      <c r="D1154" s="136"/>
      <c r="E1154" s="136"/>
      <c r="F1154" s="137"/>
      <c r="G1154" s="136"/>
      <c r="H1154" s="135"/>
      <c r="I1154" s="133"/>
    </row>
    <row r="1155" spans="1:9" x14ac:dyDescent="0.25">
      <c r="A1155" s="135"/>
      <c r="B1155" s="136"/>
      <c r="C1155" s="136"/>
      <c r="D1155" s="136"/>
      <c r="E1155" s="136"/>
      <c r="F1155" s="137"/>
      <c r="G1155" s="136"/>
      <c r="H1155" s="135"/>
      <c r="I1155" s="133"/>
    </row>
    <row r="1156" spans="1:9" x14ac:dyDescent="0.25">
      <c r="A1156" s="135"/>
      <c r="B1156" s="136"/>
      <c r="C1156" s="136"/>
      <c r="D1156" s="136"/>
      <c r="E1156" s="136"/>
      <c r="F1156" s="137"/>
      <c r="G1156" s="136"/>
      <c r="H1156" s="135"/>
      <c r="I1156" s="133"/>
    </row>
    <row r="1157" spans="1:9" x14ac:dyDescent="0.25">
      <c r="A1157" s="135"/>
      <c r="B1157" s="136"/>
      <c r="C1157" s="136"/>
      <c r="D1157" s="136"/>
      <c r="E1157" s="136"/>
      <c r="F1157" s="137"/>
      <c r="G1157" s="136"/>
      <c r="H1157" s="135"/>
      <c r="I1157" s="133"/>
    </row>
    <row r="1158" spans="1:9" x14ac:dyDescent="0.25">
      <c r="A1158" s="135"/>
      <c r="B1158" s="136"/>
      <c r="C1158" s="136"/>
      <c r="D1158" s="136"/>
      <c r="E1158" s="136"/>
      <c r="F1158" s="137"/>
      <c r="G1158" s="136"/>
      <c r="H1158" s="135"/>
      <c r="I1158" s="133"/>
    </row>
    <row r="1159" spans="1:9" x14ac:dyDescent="0.25">
      <c r="A1159" s="135"/>
      <c r="B1159" s="136"/>
      <c r="C1159" s="136"/>
      <c r="D1159" s="136"/>
      <c r="E1159" s="136"/>
      <c r="F1159" s="137"/>
      <c r="G1159" s="136"/>
      <c r="H1159" s="135"/>
      <c r="I1159" s="133"/>
    </row>
    <row r="1160" spans="1:9" x14ac:dyDescent="0.25">
      <c r="A1160" s="135"/>
      <c r="B1160" s="136"/>
      <c r="C1160" s="136"/>
      <c r="D1160" s="136"/>
      <c r="E1160" s="136"/>
      <c r="F1160" s="137"/>
      <c r="G1160" s="136"/>
      <c r="H1160" s="135"/>
      <c r="I1160" s="133"/>
    </row>
    <row r="1161" spans="1:9" x14ac:dyDescent="0.25">
      <c r="A1161" s="135"/>
      <c r="B1161" s="136"/>
      <c r="C1161" s="136"/>
      <c r="D1161" s="136"/>
      <c r="E1161" s="136"/>
      <c r="F1161" s="137"/>
      <c r="G1161" s="136"/>
      <c r="H1161" s="135"/>
      <c r="I1161" s="133"/>
    </row>
    <row r="1162" spans="1:9" x14ac:dyDescent="0.25">
      <c r="A1162" s="135"/>
      <c r="B1162" s="136"/>
      <c r="C1162" s="136"/>
      <c r="D1162" s="136"/>
      <c r="E1162" s="136"/>
      <c r="F1162" s="137"/>
      <c r="G1162" s="136"/>
      <c r="H1162" s="135"/>
      <c r="I1162" s="133"/>
    </row>
    <row r="1163" spans="1:9" x14ac:dyDescent="0.25">
      <c r="A1163" s="135"/>
      <c r="B1163" s="136"/>
      <c r="C1163" s="136"/>
      <c r="D1163" s="136"/>
      <c r="E1163" s="136"/>
      <c r="F1163" s="137"/>
      <c r="G1163" s="136"/>
      <c r="H1163" s="135"/>
      <c r="I1163" s="133"/>
    </row>
    <row r="1164" spans="1:9" x14ac:dyDescent="0.25">
      <c r="A1164" s="135"/>
      <c r="B1164" s="136"/>
      <c r="C1164" s="136"/>
      <c r="D1164" s="136"/>
      <c r="E1164" s="136"/>
      <c r="F1164" s="137"/>
      <c r="G1164" s="136"/>
      <c r="H1164" s="135"/>
      <c r="I1164" s="133"/>
    </row>
    <row r="1165" spans="1:9" x14ac:dyDescent="0.25">
      <c r="A1165" s="135"/>
      <c r="B1165" s="136"/>
      <c r="C1165" s="136"/>
      <c r="D1165" s="136"/>
      <c r="E1165" s="136"/>
      <c r="F1165" s="137"/>
      <c r="G1165" s="136"/>
      <c r="H1165" s="135"/>
      <c r="I1165" s="133"/>
    </row>
    <row r="1166" spans="1:9" x14ac:dyDescent="0.25">
      <c r="A1166" s="135"/>
      <c r="B1166" s="136"/>
      <c r="C1166" s="136"/>
      <c r="D1166" s="136"/>
      <c r="E1166" s="136"/>
      <c r="F1166" s="137"/>
      <c r="G1166" s="136"/>
      <c r="H1166" s="135"/>
      <c r="I1166" s="133"/>
    </row>
    <row r="1167" spans="1:9" x14ac:dyDescent="0.25">
      <c r="A1167" s="135"/>
      <c r="B1167" s="136"/>
      <c r="C1167" s="136"/>
      <c r="D1167" s="136"/>
      <c r="E1167" s="136"/>
      <c r="F1167" s="137"/>
      <c r="G1167" s="136"/>
      <c r="H1167" s="135"/>
      <c r="I1167" s="133"/>
    </row>
    <row r="1168" spans="1:9" x14ac:dyDescent="0.25">
      <c r="A1168" s="135"/>
      <c r="B1168" s="136"/>
      <c r="C1168" s="136"/>
      <c r="D1168" s="136"/>
      <c r="E1168" s="136"/>
      <c r="F1168" s="137"/>
      <c r="G1168" s="136"/>
      <c r="H1168" s="135"/>
      <c r="I1168" s="133"/>
    </row>
    <row r="1169" spans="1:9" x14ac:dyDescent="0.25">
      <c r="A1169" s="135"/>
      <c r="B1169" s="136"/>
      <c r="C1169" s="136"/>
      <c r="D1169" s="136"/>
      <c r="E1169" s="136"/>
      <c r="F1169" s="137"/>
      <c r="G1169" s="136"/>
      <c r="H1169" s="135"/>
      <c r="I1169" s="133"/>
    </row>
    <row r="1170" spans="1:9" x14ac:dyDescent="0.25">
      <c r="A1170" s="135"/>
      <c r="B1170" s="136"/>
      <c r="C1170" s="136"/>
      <c r="D1170" s="136"/>
      <c r="E1170" s="136"/>
      <c r="F1170" s="137"/>
      <c r="G1170" s="136"/>
      <c r="H1170" s="135"/>
      <c r="I1170" s="133"/>
    </row>
    <row r="1171" spans="1:9" x14ac:dyDescent="0.25">
      <c r="A1171" s="135"/>
      <c r="B1171" s="136"/>
      <c r="C1171" s="136"/>
      <c r="D1171" s="136"/>
      <c r="E1171" s="136"/>
      <c r="F1171" s="137"/>
      <c r="G1171" s="136"/>
      <c r="H1171" s="135"/>
      <c r="I1171" s="133"/>
    </row>
    <row r="1172" spans="1:9" x14ac:dyDescent="0.25">
      <c r="A1172" s="135"/>
      <c r="B1172" s="136"/>
      <c r="C1172" s="136"/>
      <c r="D1172" s="136"/>
      <c r="E1172" s="136"/>
      <c r="F1172" s="137"/>
      <c r="G1172" s="136"/>
      <c r="H1172" s="135"/>
      <c r="I1172" s="133"/>
    </row>
    <row r="1173" spans="1:9" x14ac:dyDescent="0.25">
      <c r="A1173" s="135"/>
      <c r="B1173" s="136"/>
      <c r="C1173" s="136"/>
      <c r="D1173" s="136"/>
      <c r="E1173" s="136"/>
      <c r="F1173" s="137"/>
      <c r="G1173" s="136"/>
      <c r="H1173" s="135"/>
      <c r="I1173" s="133"/>
    </row>
    <row r="1174" spans="1:9" x14ac:dyDescent="0.25">
      <c r="A1174" s="135"/>
      <c r="B1174" s="136"/>
      <c r="C1174" s="136"/>
      <c r="D1174" s="136"/>
      <c r="E1174" s="136"/>
      <c r="F1174" s="137"/>
      <c r="G1174" s="136"/>
      <c r="H1174" s="135"/>
      <c r="I1174" s="133"/>
    </row>
    <row r="1175" spans="1:9" x14ac:dyDescent="0.25">
      <c r="A1175" s="135"/>
      <c r="B1175" s="136"/>
      <c r="C1175" s="136"/>
      <c r="D1175" s="136"/>
      <c r="E1175" s="136"/>
      <c r="F1175" s="137"/>
      <c r="G1175" s="136"/>
      <c r="H1175" s="135"/>
      <c r="I1175" s="133"/>
    </row>
    <row r="1176" spans="1:9" x14ac:dyDescent="0.25">
      <c r="A1176" s="135"/>
      <c r="B1176" s="136"/>
      <c r="C1176" s="136"/>
      <c r="D1176" s="136"/>
      <c r="E1176" s="136"/>
      <c r="F1176" s="137"/>
      <c r="G1176" s="136"/>
      <c r="H1176" s="135"/>
      <c r="I1176" s="133"/>
    </row>
    <row r="1177" spans="1:9" x14ac:dyDescent="0.25">
      <c r="A1177" s="135"/>
      <c r="B1177" s="136"/>
      <c r="C1177" s="136"/>
      <c r="D1177" s="136"/>
      <c r="E1177" s="136"/>
      <c r="F1177" s="137"/>
      <c r="G1177" s="136"/>
      <c r="H1177" s="135"/>
      <c r="I1177" s="133"/>
    </row>
    <row r="1178" spans="1:9" x14ac:dyDescent="0.25">
      <c r="A1178" s="135"/>
      <c r="B1178" s="136"/>
      <c r="C1178" s="136"/>
      <c r="D1178" s="136"/>
      <c r="E1178" s="136"/>
      <c r="F1178" s="137"/>
      <c r="G1178" s="136"/>
      <c r="H1178" s="135"/>
      <c r="I1178" s="13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26</vt:i4>
      </vt:variant>
    </vt:vector>
  </HeadingPairs>
  <TitlesOfParts>
    <vt:vector size="48" baseType="lpstr">
      <vt:lpstr>Index</vt:lpstr>
      <vt:lpstr>MD5 Digest Cases</vt:lpstr>
      <vt:lpstr>DE Doc'TR Listing Splitter</vt:lpstr>
      <vt:lpstr>MergeNewItemsIntoArray</vt:lpstr>
      <vt:lpstr>MergeNewItemsIntoArray_IMPORT</vt:lpstr>
      <vt:lpstr>Master</vt:lpstr>
      <vt:lpstr>Additions</vt:lpstr>
      <vt:lpstr>MergeNewItemsIntoArray_Report_1</vt:lpstr>
      <vt:lpstr>MergeNewItemsIntoArray_Report_2</vt:lpstr>
      <vt:lpstr>TestSelections</vt:lpstr>
      <vt:lpstr>AdjustToMaximumWidth Cases</vt:lpstr>
      <vt:lpstr>FormatStringParser State Table</vt:lpstr>
      <vt:lpstr>Populated FormatStringParser</vt:lpstr>
      <vt:lpstr>GetPaddedLabel XREF</vt:lpstr>
      <vt:lpstr>ComputeWidthofWidestLabel XREF</vt:lpstr>
      <vt:lpstr>ComputeWidthOfWidestValue XREF</vt:lpstr>
      <vt:lpstr>GetPaddedValue XREF</vt:lpstr>
      <vt:lpstr>FormatDetail XREF</vt:lpstr>
      <vt:lpstr>Plural XREF</vt:lpstr>
      <vt:lpstr>Relocated String Reources</vt:lpstr>
      <vt:lpstr>UltrEdit Find In Files Report</vt:lpstr>
      <vt:lpstr>Locals Grid</vt:lpstr>
      <vt:lpstr>__Workbook_Index</vt:lpstr>
      <vt:lpstr>ARRAY_LIST_ORDINAL_TO_SUBSCRIPT</vt:lpstr>
      <vt:lpstr>Backup</vt:lpstr>
      <vt:lpstr>Block_Size</vt:lpstr>
      <vt:lpstr>TestSelections!comment_begin</vt:lpstr>
      <vt:lpstr>TestSelections!const_string</vt:lpstr>
      <vt:lpstr>Data_Directory</vt:lpstr>
      <vt:lpstr>DE_Doc_TR_Input_File</vt:lpstr>
      <vt:lpstr>DE_Doc_TR_Shell_Script</vt:lpstr>
      <vt:lpstr>DESIRED_WIDTH_MAXIMUM</vt:lpstr>
      <vt:lpstr>DESIRED_WIDTH_MAXIMUM_____DESIRED_WIDTH_MINIMUM___StandardConstants.ARRAY_LIST_ORDINAL_TO_SUBSCRIPT</vt:lpstr>
      <vt:lpstr>DESIRED_WIDTH_MAXIMUM___DESIRED_WIDTH_MINIMUM</vt:lpstr>
      <vt:lpstr>DESIRED_WIDTH_MINIMUM</vt:lpstr>
      <vt:lpstr>Initial_Primary_Input_File</vt:lpstr>
      <vt:lpstr>Input_Files</vt:lpstr>
      <vt:lpstr>ITEM_NUMBER_MAXIMUM</vt:lpstr>
      <vt:lpstr>ITEM_NUMBER_MAXIMUM___ITEM_NUMBER_MINIMUM</vt:lpstr>
      <vt:lpstr>ITEM_NUMBER_MINIMUM</vt:lpstr>
      <vt:lpstr>lngTotalTests</vt:lpstr>
      <vt:lpstr>MergeNewItemsIntoArray_IMPORT!MergeNewItemsIntoArray_Summary_20130105_165106</vt:lpstr>
      <vt:lpstr>Output_Directory</vt:lpstr>
      <vt:lpstr>s_aenmAlignment.Length</vt:lpstr>
      <vt:lpstr>s_astrFormats.Length</vt:lpstr>
      <vt:lpstr>Test_Data_Repository</vt:lpstr>
      <vt:lpstr>TestSelections!value_begin</vt:lpstr>
      <vt:lpstr>TestSelections!value_end</vt:lpstr>
    </vt:vector>
  </TitlesOfParts>
  <Company>Simple Soft Services,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A. Gray</dc:creator>
  <cp:lastModifiedBy>David A. Gray</cp:lastModifiedBy>
  <dcterms:created xsi:type="dcterms:W3CDTF">2012-11-21T17:56:50Z</dcterms:created>
  <dcterms:modified xsi:type="dcterms:W3CDTF">2014-07-22T02:28:59Z</dcterms:modified>
</cp:coreProperties>
</file>