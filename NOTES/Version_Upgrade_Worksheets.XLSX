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23265" windowHeight="9240"/>
  </bookViews>
  <sheets>
    <sheet name="SharedUtl4 Versions" sheetId="1" r:id="rId1"/>
    <sheet name="TestStand_Arguments" sheetId="2" r:id="rId2"/>
    <sheet name="Utl Class" sheetId="3" r:id="rId3"/>
  </sheets>
  <externalReferences>
    <externalReference r:id="rId4"/>
  </externalReferences>
  <definedNames>
    <definedName name="DLLServices2_Config_Inventory_Copy_in_bin">[1]Inventory_DllServices2_CFG_ENIG!$D$6</definedName>
    <definedName name="DLLServices2_Config_Inventory_Details">[1]Inventory_DllServices2_CFG_ENIG!$A$11:$D$115</definedName>
    <definedName name="DLLServices2_Config_Inventory_Master_Copy">[1]Inventory_DllServices2_CFG_ENIG!$A$16</definedName>
    <definedName name="DLLServices2_Config_Inventory_Newest">[1]Inventory_DllServices2_CFG_ENIG!$D$3</definedName>
    <definedName name="DLLServices2_Config_Inventory_Next_Newest">[1]Inventory_DllServices2_CFG_ENIG!$D$4</definedName>
    <definedName name="DLLServices2_Config_Inventory_Third_Newest">[1]Inventory_DllServices2_CFG_ENIG!$D$5</definedName>
    <definedName name="DLLServices2_Config_Inventory_Today">[1]Inventory_DllServices2_CFG_ENIG!$D$2</definedName>
    <definedName name="Glyphs_LC">[1]HexFormatDecoration!$D$9</definedName>
    <definedName name="Glyphs_LC___Glyphs_UC">[1]HexFormatDecoration!$D$13</definedName>
    <definedName name="Glyphs_UC">[1]HexFormatDecoration!$D$10</definedName>
    <definedName name="Prefix_Oh_LC">[1]HexFormatDecoration!$D$5</definedName>
    <definedName name="Prefix_Oh_LC___Prefix_Oh_UC___Prefix_Ox_LC___Prefix_Ox_UC">[1]HexFormatDecoration!$D$11</definedName>
    <definedName name="Prefix_Oh_UC">[1]HexFormatDecoration!$D$6</definedName>
    <definedName name="Prefix_Ox_LC">[1]HexFormatDecoration!$D$3</definedName>
    <definedName name="Prefix_Ox_UC">[1]HexFormatDecoration!$D$4</definedName>
    <definedName name="Suffix_h_LC">[1]HexFormatDecoration!$D$7</definedName>
    <definedName name="Suffix_h_LC___Suffix_h_UC">[1]HexFormatDecoration!$D$12</definedName>
    <definedName name="Suffix_h_UC">[1]HexFormatDecoration!$D$8</definedName>
    <definedName name="WWDisplayAssemblyInfo_bin_directory">[1]Inventory_WWDisplayAssemblyInfo!$C$2</definedName>
  </definedNames>
  <calcPr calcId="145621"/>
</workbook>
</file>

<file path=xl/calcChain.xml><?xml version="1.0" encoding="utf-8"?>
<calcChain xmlns="http://schemas.openxmlformats.org/spreadsheetml/2006/main">
  <c r="B20" i="3" l="1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K9" i="2" l="1"/>
  <c r="M9" i="2"/>
  <c r="C9" i="2"/>
  <c r="F9" i="2"/>
  <c r="I9" i="2"/>
  <c r="M7" i="2"/>
  <c r="L2" i="2"/>
  <c r="L9" i="2" s="1"/>
  <c r="N9" i="2" s="1"/>
  <c r="F8" i="2"/>
  <c r="I8" i="2" s="1"/>
  <c r="F7" i="2"/>
  <c r="I7" i="2" s="1"/>
  <c r="F6" i="2"/>
  <c r="I6" i="2" s="1"/>
  <c r="F5" i="2"/>
  <c r="I5" i="2" s="1"/>
  <c r="F4" i="2"/>
  <c r="I4" i="2" s="1"/>
  <c r="F3" i="2"/>
  <c r="I3" i="2" s="1"/>
  <c r="K8" i="2"/>
  <c r="K7" i="2"/>
  <c r="K6" i="2"/>
  <c r="K5" i="2"/>
  <c r="K4" i="2"/>
  <c r="K3" i="2"/>
  <c r="E7" i="2"/>
  <c r="E5" i="2"/>
  <c r="E3" i="2"/>
  <c r="E2" i="2"/>
  <c r="E8" i="2" s="1"/>
  <c r="D2" i="2"/>
  <c r="D7" i="2" s="1"/>
  <c r="H7" i="2" s="1"/>
  <c r="C8" i="2"/>
  <c r="C7" i="2"/>
  <c r="C6" i="2"/>
  <c r="C5" i="2"/>
  <c r="C4" i="2"/>
  <c r="C3" i="2"/>
  <c r="G5" i="2" l="1"/>
  <c r="Q5" i="2" s="1"/>
  <c r="G7" i="2"/>
  <c r="Q7" i="2" s="1"/>
  <c r="D4" i="2"/>
  <c r="G4" i="2" s="1"/>
  <c r="Q4" i="2" s="1"/>
  <c r="D6" i="2"/>
  <c r="D8" i="2"/>
  <c r="H8" i="2" s="1"/>
  <c r="L4" i="2"/>
  <c r="N4" i="2" s="1"/>
  <c r="L6" i="2"/>
  <c r="L8" i="2"/>
  <c r="E9" i="2"/>
  <c r="D9" i="2"/>
  <c r="N6" i="2"/>
  <c r="N8" i="2"/>
  <c r="G6" i="2"/>
  <c r="Q6" i="2" s="1"/>
  <c r="D3" i="2"/>
  <c r="H3" i="2" s="1"/>
  <c r="D5" i="2"/>
  <c r="H5" i="2" s="1"/>
  <c r="E4" i="2"/>
  <c r="E6" i="2"/>
  <c r="N5" i="2"/>
  <c r="L3" i="2"/>
  <c r="O3" i="2" s="1"/>
  <c r="L5" i="2"/>
  <c r="L7" i="2"/>
  <c r="O7" i="2" s="1"/>
  <c r="O9" i="2"/>
  <c r="M4" i="2"/>
  <c r="O4" i="2" s="1"/>
  <c r="M6" i="2"/>
  <c r="O6" i="2" s="1"/>
  <c r="M8" i="2"/>
  <c r="O8" i="2" s="1"/>
  <c r="M3" i="2"/>
  <c r="M5" i="2"/>
  <c r="O5" i="2" s="1"/>
  <c r="E4" i="1"/>
  <c r="E5" i="1" s="1"/>
  <c r="N7" i="2" l="1"/>
  <c r="G8" i="2"/>
  <c r="Q8" i="2" s="1"/>
  <c r="H6" i="2"/>
  <c r="G3" i="2"/>
  <c r="Q3" i="2" s="1"/>
  <c r="H9" i="2"/>
  <c r="G9" i="2"/>
  <c r="Q9" i="2" s="1"/>
  <c r="H4" i="2"/>
  <c r="N3" i="2"/>
</calcChain>
</file>

<file path=xl/sharedStrings.xml><?xml version="1.0" encoding="utf-8"?>
<sst xmlns="http://schemas.openxmlformats.org/spreadsheetml/2006/main" count="139" uniqueCount="110">
  <si>
    <t>Library</t>
  </si>
  <si>
    <t>Final</t>
  </si>
  <si>
    <t>Release</t>
  </si>
  <si>
    <t>Debug</t>
  </si>
  <si>
    <t>Name</t>
  </si>
  <si>
    <t>Version</t>
  </si>
  <si>
    <t>Copyright</t>
  </si>
  <si>
    <t>Built</t>
  </si>
  <si>
    <t>Status</t>
  </si>
  <si>
    <t>ASCIIInfo</t>
  </si>
  <si>
    <t>2014-2016</t>
  </si>
  <si>
    <t>1.0.57.663</t>
  </si>
  <si>
    <t>1.4.58.327</t>
  </si>
  <si>
    <t>Fixed</t>
  </si>
  <si>
    <t>FormatStringEngine</t>
  </si>
  <si>
    <t>1.3.119.666</t>
  </si>
  <si>
    <t>1.4.122.2647</t>
  </si>
  <si>
    <t>SharedUtl4</t>
  </si>
  <si>
    <t>2012-2016</t>
  </si>
  <si>
    <t>2.81.302.668</t>
  </si>
  <si>
    <t>2012-2014</t>
  </si>
  <si>
    <t>3.0.308.8553</t>
  </si>
  <si>
    <t xml:space="preserve">        const string TEST_MAXSTRINGLENGTH = @"MaxStringLength";                 // MaxStringLength_Tests</t>
  </si>
  <si>
    <t xml:space="preserve">        const string TEST_MERGENEWITEMSINTOARRAY = @"MergeNewItemsIntoArray";   // MergeNewItemsIntoArray_Tests</t>
  </si>
  <si>
    <t xml:space="preserve">        const string TEST_DIGESTFILE = @"DigestFile";                           // DigestFileTests</t>
  </si>
  <si>
    <t xml:space="preserve">        const string TEST_REPORTDETAILS = @"ReportDetails";                     // ReportDetailsTests</t>
  </si>
  <si>
    <t xml:space="preserve">        const string TEST_REPORTHELPERS = @"ReportHelpers";                     // ReportHelpers</t>
  </si>
  <si>
    <t xml:space="preserve">        const string TEST_FORMAT_ITEM_GEN = @"FormatItemGen";                   // FormatItem</t>
  </si>
  <si>
    <t xml:space="preserve">        const int CHOICE_MAXSTRINGLENGTH = 0;</t>
  </si>
  <si>
    <t xml:space="preserve">        const int CHOICE_MERGENEWITEMSINTOARRAY = 1;</t>
  </si>
  <si>
    <t xml:space="preserve">        const int CHOICE_DIGESTFILE = 2;</t>
  </si>
  <si>
    <t xml:space="preserve">        const int CHOICE_REPORTDETAILS = 3;</t>
  </si>
  <si>
    <t xml:space="preserve">        const int CHOICE_REPORTHELPERS = 4;</t>
  </si>
  <si>
    <t xml:space="preserve">        const int CHOICE_FORMAT_ITEM_GEN = 5;</t>
  </si>
  <si>
    <t>const string</t>
  </si>
  <si>
    <t>Strings</t>
  </si>
  <si>
    <t>Program.cs of TestStand.exe</t>
  </si>
  <si>
    <t>String Constnats</t>
  </si>
  <si>
    <t>Integer Constnats</t>
  </si>
  <si>
    <t>const int</t>
  </si>
  <si>
    <t xml:space="preserve">// </t>
  </si>
  <si>
    <t>;</t>
  </si>
  <si>
    <t>Value</t>
  </si>
  <si>
    <t>Integers</t>
  </si>
  <si>
    <t xml:space="preserve">        const string TEST_ASCII_TABLE_GEN = @"ASCIITableGen";                   // ASCII_Table_Gen</t>
  </si>
  <si>
    <t xml:space="preserve">        const int CHOICE_ASCII_TABLE_GEN = 6;</t>
  </si>
  <si>
    <t xml:space="preserve">            s_astrTestSelections [ CHOICE_MAXSTRINGLENGTH ] = TEST_MAXSTRINGLENGTH;</t>
  </si>
  <si>
    <t xml:space="preserve">            s_astrTestSelections [ CHOICE_MERGENEWITEMSINTOARRAY ] = TEST_MERGENEWITEMSINTOARRAY;</t>
  </si>
  <si>
    <t xml:space="preserve">            s_astrTestSelections [ CHOICE_DIGESTFILE ] = TEST_DIGESTFILE;</t>
  </si>
  <si>
    <t xml:space="preserve">            s_astrTestSelections [ CHOICE_REPORTDETAILS ] = TEST_REPORTDETAILS;</t>
  </si>
  <si>
    <t xml:space="preserve">            s_astrTestSelections [ CHOICE_REPORTHELPERS ] = TEST_REPORTHELPERS;</t>
  </si>
  <si>
    <t xml:space="preserve">            s_astrTestSelections [ CHOICE_FORMAT_ITEM_GEN ] = TEST_FORMAT_ITEM_GEN;</t>
  </si>
  <si>
    <t>InitializeTestSelections</t>
  </si>
  <si>
    <t>s_astrTestSelections</t>
  </si>
  <si>
    <t>Comment</t>
  </si>
  <si>
    <t>Name of Test Method</t>
  </si>
  <si>
    <t>ReportHelpersTests</t>
  </si>
  <si>
    <t>ReportDetailsTests</t>
  </si>
  <si>
    <t>DigestFileTests</t>
  </si>
  <si>
    <t>MergeNewItemsIntoArray_Tests</t>
  </si>
  <si>
    <t>MaxStringLength_Tests</t>
  </si>
  <si>
    <t xml:space="preserve">FormatStringParsing_Drills.ASCII_Table_Gen </t>
  </si>
  <si>
    <t>FormatStringParsing_Drills.TestFormatItemBuilders</t>
  </si>
  <si>
    <t>GateSystemType</t>
  </si>
  <si>
    <t>YesNo</t>
  </si>
  <si>
    <t>Member</t>
  </si>
  <si>
    <t>Type</t>
  </si>
  <si>
    <t>Enumeration</t>
  </si>
  <si>
    <t>External References</t>
  </si>
  <si>
    <t>NOLANB/LogBasePruner</t>
  </si>
  <si>
    <t>Utl</t>
  </si>
  <si>
    <t>Scan Time</t>
  </si>
  <si>
    <t>BEGINNING_OF_BUFFER</t>
  </si>
  <si>
    <t>EXCLUDE_LABEL_ROW</t>
  </si>
  <si>
    <t>FIRST_RECORD</t>
  </si>
  <si>
    <t>Definition</t>
  </si>
  <si>
    <t>WizardWrx.DLLServices2.ListInfo.BEGINNING_OF_BUFFER</t>
  </si>
  <si>
    <t>WizardWrx.MagicNumbers.PLUS_ONE</t>
  </si>
  <si>
    <t>NUMERIC_FORMAT_PERCENTAGE</t>
  </si>
  <si>
    <t>WizardWrx.NumericFormats.PERCENT</t>
  </si>
  <si>
    <t>NUMERIC_FORMAT_INTEGER_NO_DECIMAL</t>
  </si>
  <si>
    <t>WizardWrx.NumericFormats.NUMBER_PER_REG_SETTINGS_0D</t>
  </si>
  <si>
    <t>ARRAY_FIRST_ELEMENT</t>
  </si>
  <si>
    <t>WizardWrx.ArrayInfo.ARRAY_FIRST_ELEMENT</t>
  </si>
  <si>
    <t>ARRAY_INVALID_INDEX</t>
  </si>
  <si>
    <t>WizardWrx.ArrayInfo.ARRAY_INVALID_INDEX</t>
  </si>
  <si>
    <t>ARRAY_NEXT_ELEMENT</t>
  </si>
  <si>
    <t>WizardWrx.ArrayInfo.NEXT_INDEX</t>
  </si>
  <si>
    <t>ARRAY_SUBSCRIPT_TO_ORDINAL</t>
  </si>
  <si>
    <t>WizardWrx.ArrayInfo.ORDINAL_FROM_INDEX</t>
  </si>
  <si>
    <t>BEGINNING</t>
  </si>
  <si>
    <t>NONE_YET</t>
  </si>
  <si>
    <t>WizardWrx.ArrayInfo.ARRAY_IS_EMPTY</t>
  </si>
  <si>
    <t>s_achrOneTab</t>
  </si>
  <si>
    <t>char[] { SpecialCharacters.TAB_CHAR }</t>
  </si>
  <si>
    <t>read only static char</t>
  </si>
  <si>
    <t>constant integer</t>
  </si>
  <si>
    <t>ByteArrayToHexDigitString</t>
  </si>
  <si>
    <t>string</t>
  </si>
  <si>
    <t>DisplayPercentage</t>
  </si>
  <si>
    <t>Implemented locally</t>
  </si>
  <si>
    <t>LoadTextFileFromCallingAssembly</t>
  </si>
  <si>
    <t>string [ ]</t>
  </si>
  <si>
    <t>None</t>
  </si>
  <si>
    <t>DataEase class (see DataEaseDirectoryReader)</t>
  </si>
  <si>
    <t>Method taking byte [ ] pbytInputData</t>
  </si>
  <si>
    <t>Method taking string pstrResourceName</t>
  </si>
  <si>
    <t>3.0.131.41420</t>
  </si>
  <si>
    <t>3.0.322.41422</t>
  </si>
  <si>
    <t>3.0.69.41424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</si>
</sst>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/mm\/dd\ hh:mm"/>
    <numFmt numFmtId="165" formatCode="yyyy\/mm\/dd\ hh:mm:ss"/>
  </numFmts>
  <fonts count="9" x14ac:knownFonts="1">
    <font>
      <sz val="11"/>
      <color theme="1"/>
      <name val="Consolas"/>
      <family val="2"/>
    </font>
    <font>
      <b/>
      <sz val="18"/>
      <color rgb="FFFFC000"/>
      <name val="Tahoma"/>
      <family val="2"/>
    </font>
    <font>
      <b/>
      <sz val="14"/>
      <color rgb="FFFFFF00"/>
      <name val="Tahoma"/>
      <family val="2"/>
    </font>
    <font>
      <b/>
      <sz val="11"/>
      <color rgb="FF0000FF"/>
      <name val="Tahoma"/>
      <family val="2"/>
    </font>
    <font>
      <b/>
      <sz val="14"/>
      <color theme="8" tint="-0.499984740745262"/>
      <name val="Tahoma"/>
      <family val="2"/>
    </font>
    <font>
      <b/>
      <sz val="22"/>
      <color theme="0" tint="-0.499984740745262"/>
      <name val="Tahoma"/>
      <family val="2"/>
    </font>
    <font>
      <sz val="18"/>
      <color theme="1"/>
      <name val="Consolas"/>
      <family val="2"/>
    </font>
    <font>
      <b/>
      <sz val="15"/>
      <color theme="3"/>
      <name val="Consolas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7030A0"/>
      </left>
      <right style="thin">
        <color rgb="FF7030A0"/>
      </right>
      <top style="thin">
        <color rgb="FFFFFF00"/>
      </top>
      <bottom style="thin">
        <color rgb="FF7030A0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7" fillId="0" borderId="10" applyNumberFormat="0" applyFill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4" xfId="0" applyFont="1" applyFill="1" applyBorder="1"/>
    <xf numFmtId="49" fontId="2" fillId="2" borderId="4" xfId="0" applyNumberFormat="1" applyFont="1" applyFill="1" applyBorder="1"/>
    <xf numFmtId="0" fontId="0" fillId="0" borderId="5" xfId="0" applyBorder="1"/>
    <xf numFmtId="49" fontId="0" fillId="0" borderId="5" xfId="0" applyNumberFormat="1" applyBorder="1"/>
    <xf numFmtId="164" fontId="0" fillId="0" borderId="5" xfId="0" applyNumberFormat="1" applyBorder="1"/>
    <xf numFmtId="0" fontId="3" fillId="0" borderId="5" xfId="0" applyFont="1" applyBorder="1"/>
    <xf numFmtId="0" fontId="1" fillId="2" borderId="2" xfId="0" applyFont="1" applyFill="1" applyBorder="1" applyAlignment="1">
      <alignment horizontal="center"/>
    </xf>
    <xf numFmtId="0" fontId="4" fillId="3" borderId="6" xfId="0" applyFont="1" applyFill="1" applyBorder="1"/>
    <xf numFmtId="0" fontId="0" fillId="0" borderId="6" xfId="0" applyBorder="1"/>
    <xf numFmtId="0" fontId="4" fillId="3" borderId="6" xfId="0" quotePrefix="1" applyFont="1" applyFill="1" applyBorder="1"/>
    <xf numFmtId="0" fontId="6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10" xfId="1"/>
    <xf numFmtId="0" fontId="8" fillId="0" borderId="0" xfId="0" applyFont="1"/>
    <xf numFmtId="22" fontId="8" fillId="0" borderId="0" xfId="0" applyNumberFormat="1" applyFont="1"/>
    <xf numFmtId="165" fontId="0" fillId="0" borderId="5" xfId="0" applyNumberFormat="1" applyBorder="1"/>
  </cellXfs>
  <cellStyles count="2">
    <cellStyle name="Heading 1" xfId="1" builtinId="16"/>
    <cellStyle name="Normal" xfId="0" builtinId="0"/>
  </cellStyles>
  <dxfs count="11"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E/Documents/Visual%20Studio%202013/Projects/WizardWrx_Libs/DLLServices2/_NOTES/Xref_Standard_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exFormatDecoration"/>
      <sheetName val="NumericFormats Constants"/>
      <sheetName val="Inventory_WWDisplayAssemblyInfo"/>
      <sheetName val="SharedUtl4 Versions"/>
      <sheetName val="Inventory_DllServices2_ENIGMA"/>
      <sheetName val="Inventory_DllServices2_CFG_ENIG"/>
    </sheetNames>
    <sheetDataSet>
      <sheetData sheetId="0"/>
      <sheetData sheetId="1">
        <row r="3">
          <cell r="D3">
            <v>1</v>
          </cell>
        </row>
        <row r="4">
          <cell r="D4">
            <v>2</v>
          </cell>
        </row>
        <row r="5">
          <cell r="D5">
            <v>3</v>
          </cell>
        </row>
        <row r="6">
          <cell r="D6">
            <v>4</v>
          </cell>
        </row>
        <row r="7">
          <cell r="D7">
            <v>8</v>
          </cell>
        </row>
        <row r="8">
          <cell r="D8">
            <v>16</v>
          </cell>
        </row>
        <row r="9">
          <cell r="D9">
            <v>32</v>
          </cell>
        </row>
        <row r="10">
          <cell r="D10">
            <v>64</v>
          </cell>
        </row>
        <row r="11">
          <cell r="D11">
            <v>10</v>
          </cell>
        </row>
        <row r="12">
          <cell r="D12">
            <v>24</v>
          </cell>
        </row>
        <row r="13">
          <cell r="D13">
            <v>96</v>
          </cell>
        </row>
      </sheetData>
      <sheetData sheetId="2"/>
      <sheetData sheetId="3">
        <row r="2">
          <cell r="C2" t="str">
            <v>2.0.2.23209</v>
          </cell>
        </row>
      </sheetData>
      <sheetData sheetId="4"/>
      <sheetData sheetId="5"/>
      <sheetData sheetId="6">
        <row r="2">
          <cell r="D2">
            <v>42526.75854166667</v>
          </cell>
        </row>
        <row r="3">
          <cell r="D3">
            <v>42522.046539351853</v>
          </cell>
        </row>
        <row r="4">
          <cell r="D4">
            <v>42285.98028935185</v>
          </cell>
        </row>
        <row r="5">
          <cell r="D5">
            <v>42174.962650462963</v>
          </cell>
        </row>
        <row r="6">
          <cell r="D6">
            <v>42170.749803240738</v>
          </cell>
        </row>
        <row r="11">
          <cell r="A11" t="str">
            <v>C:\Users\DAVE\Documents\Visual Studio 2013\Projects\Console_Apps\FixEventLogExport\FixEventLogExport\WizardWrx.DLLServices2.dll.config</v>
          </cell>
          <cell r="B11" t="str">
            <v>C:\Users\DAVE\Documents\Visual Studio 2013\Projects\Console_Apps\FixEventLogExport\FixEventLogExport</v>
          </cell>
          <cell r="C11">
            <v>3350</v>
          </cell>
          <cell r="D11">
            <v>42522.046539351853</v>
          </cell>
        </row>
        <row r="12">
          <cell r="A12" t="str">
            <v>C:\Users\DAVE\Documents\Visual Studio 2013\Projects\Console_Apps\FixEventLogExport\FixEventLogExport\bin\Debug\WizardWrx.DLLServices2.dll.config</v>
          </cell>
          <cell r="B12" t="str">
            <v>C:\Users\DAVE\Documents\Visual Studio 2013\Projects\Console_Apps\FixEventLogExport\FixEventLogExport\bin\Debug</v>
          </cell>
          <cell r="C12">
            <v>3350</v>
          </cell>
          <cell r="D12">
            <v>42522.046539351853</v>
          </cell>
        </row>
        <row r="13">
          <cell r="A13" t="str">
            <v>C:\Users\DAVE\Documents\Visual Studio 2013\Projects\Console_Apps\FixEventLogExport\FixEventLogExport\bin\x86\Debug\WizardWrx.DLLServices2.dll.config</v>
          </cell>
          <cell r="B13" t="str">
            <v>C:\Users\DAVE\Documents\Visual Studio 2013\Projects\Console_Apps\FixEventLogExport\FixEventLogExport\bin\x86\Debug</v>
          </cell>
          <cell r="C13">
            <v>3350</v>
          </cell>
          <cell r="D13">
            <v>42522.046539351853</v>
          </cell>
        </row>
        <row r="14">
          <cell r="A14" t="str">
            <v>C:\Users\DAVE\Documents\Visual Studio 2013\Projects\Console_Apps\FixEventLogExport\FixEventLogExport\bin\x86\Release\WizardWrx.DLLServices2.dll.config</v>
          </cell>
          <cell r="B14" t="str">
            <v>C:\Users\DAVE\Documents\Visual Studio 2013\Projects\Console_Apps\FixEventLogExport\FixEventLogExport\bin\x86\Release</v>
          </cell>
          <cell r="C14">
            <v>3350</v>
          </cell>
          <cell r="D14">
            <v>42522.046539351853</v>
          </cell>
        </row>
        <row r="15">
          <cell r="A15" t="str">
            <v>C:\Users\DAVE\Documents\Visual Studio 2013\Projects\Console_Apps\FixEventLogExport\FixEventLogExport_Distribution_Package\WizardWrx.DLLServices2.dll.config</v>
          </cell>
          <cell r="B15" t="str">
            <v>C:\Users\DAVE\Documents\Visual Studio 2013\Projects\Console_Apps\FixEventLogExport\FixEventLogExport_Distribution_Package</v>
          </cell>
          <cell r="C15">
            <v>3350</v>
          </cell>
          <cell r="D15">
            <v>42522.046539351853</v>
          </cell>
        </row>
        <row r="16">
          <cell r="A16" t="str">
            <v>C:\Users\DAVE\Documents\Visual Studio 2013\Projects\WizardWrx_Libs\DLLServices2\DLLServices2\WizardWrx.DLLServices2.dll.config</v>
          </cell>
          <cell r="B16" t="str">
            <v>C:\Users\DAVE\Documents\Visual Studio 2013\Projects\WizardWrx_Libs\DLLServices2\DLLServices2</v>
          </cell>
          <cell r="C16">
            <v>6172</v>
          </cell>
          <cell r="D16">
            <v>42285.98028935185</v>
          </cell>
        </row>
        <row r="17">
          <cell r="A17" t="str">
            <v>C:\Users\DAVE\Documents\Visual Studio 2013\Projects\WizardWrx_Libs\DLLServices2\DLLServices2\bin\Debug\WizardWrx.DLLServices2.dll.config</v>
          </cell>
          <cell r="B17" t="str">
            <v>C:\Users\DAVE\Documents\Visual Studio 2013\Projects\WizardWrx_Libs\DLLServices2\DLLServices2\bin\Debug</v>
          </cell>
          <cell r="C17">
            <v>6172</v>
          </cell>
          <cell r="D17">
            <v>42285.98028935185</v>
          </cell>
        </row>
        <row r="18">
          <cell r="A18" t="str">
            <v>C:\Users\DAVE\Documents\Visual Studio 2013\Projects\WizardWrx_Libs\DLLServices2\DLLServices2\bin\Release\WizardWrx.DLLServices2.dll.config</v>
          </cell>
          <cell r="B18" t="str">
            <v>C:\Users\DAVE\Documents\Visual Studio 2013\Projects\WizardWrx_Libs\DLLServices2\DLLServices2\bin\Release</v>
          </cell>
          <cell r="C18">
            <v>6172</v>
          </cell>
          <cell r="D18">
            <v>42285.98028935185</v>
          </cell>
        </row>
        <row r="19">
          <cell r="A19" t="str">
            <v>C:\Users\DAVE\Documents\Visual Studio 2013\Projects\WizardWrx_Libs\DLLServices2\DLLServices2TestStand\bin\Debug\WizardWrx.DLLServices2.dll.config</v>
          </cell>
          <cell r="B19" t="str">
            <v>C:\Users\DAVE\Documents\Visual Studio 2013\Projects\WizardWrx_Libs\DLLServices2\DLLServices2TestStand\bin\Debug</v>
          </cell>
          <cell r="C19">
            <v>6172</v>
          </cell>
          <cell r="D19">
            <v>42285.98028935185</v>
          </cell>
        </row>
        <row r="20">
          <cell r="A20" t="str">
            <v>C:\Users\DAVE\Documents\Visual Studio 2013\Projects\WizardWrx_Libs\DLLServices2\DLLServices2TestStand\bin\Release\WizardWrx.DLLServices2.dll.config</v>
          </cell>
          <cell r="B20" t="str">
            <v>C:\Users\DAVE\Documents\Visual Studio 2013\Projects\WizardWrx_Libs\DLLServices2\DLLServices2TestStand\bin\Release</v>
          </cell>
          <cell r="C20">
            <v>6172</v>
          </cell>
          <cell r="D20">
            <v>42285.98028935185</v>
          </cell>
        </row>
        <row r="21">
          <cell r="A21" t="str">
            <v>C:\Users\DAVE\Documents\Visual Studio 2013\Projects\WizardWrx_Libs\DLLServices2\RedirectedStreamTester\bin\Debug\WizardWrx.DLLServices2.dll.config</v>
          </cell>
          <cell r="B21" t="str">
            <v>C:\Users\DAVE\Documents\Visual Studio 2013\Projects\WizardWrx_Libs\DLLServices2\RedirectedStreamTester\bin\Debug</v>
          </cell>
          <cell r="C21">
            <v>6172</v>
          </cell>
          <cell r="D21">
            <v>42285.98028935185</v>
          </cell>
        </row>
        <row r="22">
          <cell r="A22" t="str">
            <v>C:\Users\DAVE\Documents\Visual Studio 2013\Projects\WizardWrx_Libs\DLLServices2\RedirectedStreamTester\bin\Release\WizardWrx.DLLServices2.dll.config</v>
          </cell>
          <cell r="B22" t="str">
            <v>C:\Users\DAVE\Documents\Visual Studio 2013\Projects\WizardWrx_Libs\DLLServices2\RedirectedStreamTester\bin\Release</v>
          </cell>
          <cell r="C22">
            <v>6172</v>
          </cell>
          <cell r="D22">
            <v>42285.98028935185</v>
          </cell>
        </row>
        <row r="23">
          <cell r="A23" t="str">
            <v>C:\Users\DAVE\Documents\Visual Studio 2013\Projects\Console_Apps\CSV2JSONRT\CSV2JSONRT\bin\x86\Debug\WizardWrx.DLLServices2.dll.config</v>
          </cell>
          <cell r="B23" t="str">
            <v>C:\Users\DAVE\Documents\Visual Studio 2013\Projects\Console_Apps\CSV2JSONRT\CSV2JSONRT\bin\x86\Debug</v>
          </cell>
          <cell r="C23">
            <v>5793</v>
          </cell>
          <cell r="D23">
            <v>42174.962650462963</v>
          </cell>
        </row>
        <row r="24">
          <cell r="A24" t="str">
            <v>C:\Users\DAVE\Documents\Visual Studio 2013\Projects\Console_Apps\CSV2JSONRT\CSV2JSONRT\bin\x86\Release\WizardWrx.DLLServices2.dll.config</v>
          </cell>
          <cell r="B24" t="str">
            <v>C:\Users\DAVE\Documents\Visual Studio 2013\Projects\Console_Apps\CSV2JSONRT\CSV2JSONRT\bin\x86\Release</v>
          </cell>
          <cell r="C24">
            <v>5793</v>
          </cell>
          <cell r="D24">
            <v>42174.962650462963</v>
          </cell>
        </row>
        <row r="25">
          <cell r="A25" t="str">
            <v>C:\Users\DAVE\Documents\Visual Studio 2013\Projects\Tools_for_Programmers\MemCalc\MemCalc\WizardWrx.DllServices2.dll.config</v>
          </cell>
          <cell r="B25" t="str">
            <v>C:\Users\DAVE\Documents\Visual Studio 2013\Projects\Tools_for_Programmers\MemCalc\MemCalc</v>
          </cell>
          <cell r="C25">
            <v>5793</v>
          </cell>
          <cell r="D25">
            <v>42174.962650462963</v>
          </cell>
        </row>
        <row r="26">
          <cell r="A26" t="str">
            <v>C:\Users\DAVE\Documents\Visual Studio 2013\Projects\Tools_for_Programmers\MemCalc\MemCalc\bin\Debug\WizardWrx.DllServices2.dll.config</v>
          </cell>
          <cell r="B26" t="str">
            <v>C:\Users\DAVE\Documents\Visual Studio 2013\Projects\Tools_for_Programmers\MemCalc\MemCalc\bin\Debug</v>
          </cell>
          <cell r="C26">
            <v>5793</v>
          </cell>
          <cell r="D26">
            <v>42174.962650462963</v>
          </cell>
        </row>
        <row r="27">
          <cell r="A27" t="str">
            <v>C:\Users\DAVE\Documents\Visual Studio 2013\Projects\Tools_for_Programmers\RGUNC_Tag_Browser\CreateAlternativesTable\bin\Debug\WizardWrx.DLLServices2.dll.config</v>
          </cell>
          <cell r="B27" t="str">
            <v>C:\Users\DAVE\Documents\Visual Studio 2013\Projects\Tools_for_Programmers\RGUNC_Tag_Browser\CreateAlternativesTable\bin\Debug</v>
          </cell>
          <cell r="C27">
            <v>5793</v>
          </cell>
          <cell r="D27">
            <v>42174.962650462963</v>
          </cell>
        </row>
        <row r="28">
          <cell r="A28" t="str">
            <v>C:\bin\WizardWrx.DLLServices2.dll.config</v>
          </cell>
          <cell r="B28" t="str">
            <v>C:\bin</v>
          </cell>
          <cell r="C28">
            <v>3350</v>
          </cell>
          <cell r="D28">
            <v>42170.749803240738</v>
          </cell>
        </row>
        <row r="29">
          <cell r="A29" t="str">
            <v>C:\Users\DAVE\Documents\Visual Studio 2013\Projects\_Laboratory\ConsoleOutputSpeedTest\ConsoleOutputSpeedTest\bin\Debug\WizardWrx.DLLServices2.dll.config</v>
          </cell>
          <cell r="B29" t="str">
            <v>C:\Users\DAVE\Documents\Visual Studio 2013\Projects\_Laboratory\ConsoleOutputSpeedTest\ConsoleOutputSpeedTest\bin\Debug</v>
          </cell>
          <cell r="C29">
            <v>3350</v>
          </cell>
          <cell r="D29">
            <v>42170.749803240738</v>
          </cell>
        </row>
        <row r="30">
          <cell r="A30" t="str">
            <v>C:\Users\DAVE\Documents\Visual Studio 2013\Projects\_Laboratory\TimeZoneLab\TimeZoneLab\WizardWrx.DLLServices2.dll.config</v>
          </cell>
          <cell r="B30" t="str">
            <v>C:\Users\DAVE\Documents\Visual Studio 2013\Projects\_Laboratory\TimeZoneLab\TimeZoneLab</v>
          </cell>
          <cell r="C30">
            <v>3350</v>
          </cell>
          <cell r="D30">
            <v>42170.749803240738</v>
          </cell>
        </row>
        <row r="31">
          <cell r="A31" t="str">
            <v>C:\Users\DAVE\Documents\Visual Studio 2013\Projects\_Laboratory\TimeZoneLab\TimeZoneLab\bin\Debug\WizardWrx.DLLServices2.dll.config</v>
          </cell>
          <cell r="B31" t="str">
            <v>C:\Users\DAVE\Documents\Visual Studio 2013\Projects\_Laboratory\TimeZoneLab\TimeZoneLab\bin\Debug</v>
          </cell>
          <cell r="C31">
            <v>3350</v>
          </cell>
          <cell r="D31">
            <v>42170.749803240738</v>
          </cell>
        </row>
        <row r="32">
          <cell r="A32" t="str">
            <v>C:\Users\DAVE\Documents\Visual Studio 2013\Projects\_Laboratory\TimeZoneLab\TimeZoneLab\bin\Release\WizardWrx.DLLServices2.dll.config</v>
          </cell>
          <cell r="B32" t="str">
            <v>C:\Users\DAVE\Documents\Visual Studio 2013\Projects\_Laboratory\TimeZoneLab\TimeZoneLab\bin\Release</v>
          </cell>
          <cell r="C32">
            <v>3350</v>
          </cell>
          <cell r="D32">
            <v>42170.749803240738</v>
          </cell>
        </row>
        <row r="33">
          <cell r="A33" t="str">
            <v>C:\Users\DAVE\Documents\Visual Studio 2013\Projects\Console_Apps\Date2FN\Date2FN\bin\Debug\WizardWrx.DLLServices2.dll.config</v>
          </cell>
          <cell r="B33" t="str">
            <v>C:\Users\DAVE\Documents\Visual Studio 2013\Projects\Console_Apps\Date2FN\Date2FN\bin\Debug</v>
          </cell>
          <cell r="C33">
            <v>3350</v>
          </cell>
          <cell r="D33">
            <v>42170.749803240738</v>
          </cell>
        </row>
        <row r="34">
          <cell r="A34" t="str">
            <v>C:\Users\DAVE\Documents\Visual Studio 2013\Projects\Console_Apps\WWEnumEnvironmentStrings\WWEnumEnvironmentStrings\WizardWrx.DLLServices2.dll.config</v>
          </cell>
          <cell r="B34" t="str">
            <v>C:\Users\DAVE\Documents\Visual Studio 2013\Projects\Console_Apps\WWEnumEnvironmentStrings\WWEnumEnvironmentStrings</v>
          </cell>
          <cell r="C34">
            <v>3350</v>
          </cell>
          <cell r="D34">
            <v>42170.749803240738</v>
          </cell>
        </row>
        <row r="35">
          <cell r="A35" t="str">
            <v>C:\Users\DAVE\Documents\Visual Studio 2013\Projects\Console_Apps\WWEnumEnvironmentStrings\WWEnumEnvironmentStrings\bin\Debug\WizardWrx.DLLServices2.dll.config</v>
          </cell>
          <cell r="B35" t="str">
            <v>C:\Users\DAVE\Documents\Visual Studio 2013\Projects\Console_Apps\WWEnumEnvironmentStrings\WWEnumEnvironmentStrings\bin\Debug</v>
          </cell>
          <cell r="C35">
            <v>3350</v>
          </cell>
          <cell r="D35">
            <v>42170.749803240738</v>
          </cell>
        </row>
        <row r="36">
          <cell r="A36" t="str">
            <v>C:\Users\DAVE\Documents\Visual Studio 2013\Projects\Console_Apps\WWEnumEnvironmentStrings\WWEnumEnvironmentStrings\bin\Release\WizardWrx.DLLServices2.dll.config</v>
          </cell>
          <cell r="B36" t="str">
            <v>C:\Users\DAVE\Documents\Visual Studio 2013\Projects\Console_Apps\WWEnumEnvironmentStrings\WWEnumEnvironmentStrings\bin\Release</v>
          </cell>
          <cell r="C36">
            <v>3350</v>
          </cell>
          <cell r="D36">
            <v>42170.749803240738</v>
          </cell>
        </row>
        <row r="37">
          <cell r="A37" t="str">
            <v>C:\Users\DAVE\Documents\Visual Studio 2013\Projects\Console_Apps\WWEnumEnvironmentStrings\WWEnumEnvironmentStrings\bin\x86\Release\WizardWrx.DLLServices2.dll.config</v>
          </cell>
          <cell r="B37" t="str">
            <v>C:\Users\DAVE\Documents\Visual Studio 2013\Projects\Console_Apps\WWEnumEnvironmentStrings\WWEnumEnvironmentStrings\bin\x86\Release</v>
          </cell>
          <cell r="C37">
            <v>3350</v>
          </cell>
          <cell r="D37">
            <v>42170.749803240738</v>
          </cell>
        </row>
        <row r="38">
          <cell r="A38" t="str">
            <v>C:\Users\DAVE\Documents\Visual Studio 2013\Projects\NOLANB\DataEaseDirectoryReader\DataEaseDirectoryReader\WizardWrx.DLLServices2.dll.config</v>
          </cell>
          <cell r="B38" t="str">
            <v>C:\Users\DAVE\Documents\Visual Studio 2013\Projects\NOLANB\DataEaseDirectoryReader\DataEaseDirectoryReader</v>
          </cell>
          <cell r="C38">
            <v>3350</v>
          </cell>
          <cell r="D38">
            <v>42170.749803240738</v>
          </cell>
        </row>
        <row r="39">
          <cell r="A39" t="str">
            <v>C:\Users\DAVE\Documents\Visual Studio 2013\Projects\NOLANB\DataEaseDirectoryReader\DataEaseDirectoryReader\bin\Debug\WizardWrx.DLLServices2.dll.config</v>
          </cell>
          <cell r="B39" t="str">
            <v>C:\Users\DAVE\Documents\Visual Studio 2013\Projects\NOLANB\DataEaseDirectoryReader\DataEaseDirectoryReader\bin\Debug</v>
          </cell>
          <cell r="C39">
            <v>3350</v>
          </cell>
          <cell r="D39">
            <v>42170.749803240738</v>
          </cell>
        </row>
        <row r="40">
          <cell r="A40" t="str">
            <v>C:\Users\DAVE\Documents\Visual Studio 2013\Projects\NOLANB\DataEaseDirectoryReader\DataEaseDirectoryReader\bin\Release\WizardWrx.DLLServices2.dll.config</v>
          </cell>
          <cell r="B40" t="str">
            <v>C:\Users\DAVE\Documents\Visual Studio 2013\Projects\NOLANB\DataEaseDirectoryReader\DataEaseDirectoryReader\bin\Release</v>
          </cell>
          <cell r="C40">
            <v>3350</v>
          </cell>
          <cell r="D40">
            <v>42170.749803240738</v>
          </cell>
        </row>
        <row r="41">
          <cell r="A41" t="str">
            <v>C:\Users\DAVE\Documents\Visual Studio 2013\Projects\NOLANB\DataEaseDirectoryReader\SupportMethodTester\WizardWrx.DLLServices2.dll.config</v>
          </cell>
          <cell r="B41" t="str">
            <v>C:\Users\DAVE\Documents\Visual Studio 2013\Projects\NOLANB\DataEaseDirectoryReader\SupportMethodTester</v>
          </cell>
          <cell r="C41">
            <v>3350</v>
          </cell>
          <cell r="D41">
            <v>42170.749803240738</v>
          </cell>
        </row>
        <row r="42">
          <cell r="A42" t="str">
            <v>C:\Users\DAVE\Documents\Visual Studio 2013\Projects\NOLANB\DataEaseDirectoryReader\SupportMethodTester\bin\Debug\WizardWrx.DLLServices2.dll.config</v>
          </cell>
          <cell r="B42" t="str">
            <v>C:\Users\DAVE\Documents\Visual Studio 2013\Projects\NOLANB\DataEaseDirectoryReader\SupportMethodTester\bin\Debug</v>
          </cell>
          <cell r="C42">
            <v>3350</v>
          </cell>
          <cell r="D42">
            <v>42170.749803240738</v>
          </cell>
        </row>
        <row r="43">
          <cell r="A43" t="str">
            <v>C:\Users\DAVE\Documents\Visual Studio 2013\Projects\NOLANB\DataEaseDirectoryReader\SupportMethodTester\bin\Release\WizardWrx.DLLServices2.dll.config</v>
          </cell>
          <cell r="B43" t="str">
            <v>C:\Users\DAVE\Documents\Visual Studio 2013\Projects\NOLANB\DataEaseDirectoryReader\SupportMethodTester\bin\Release</v>
          </cell>
          <cell r="C43">
            <v>3350</v>
          </cell>
          <cell r="D43">
            <v>42170.749803240738</v>
          </cell>
        </row>
        <row r="44">
          <cell r="A44" t="str">
            <v>C:\Users\DAVE\Documents\Visual Studio 2013\Projects\NOLANB\EZPayFileMonitor\EZPayFileMonitor\bin\Debug\WizardWrx.DLLServices2.dll.config</v>
          </cell>
          <cell r="B44" t="str">
            <v>C:\Users\DAVE\Documents\Visual Studio 2013\Projects\NOLANB\EZPayFileMonitor\EZPayFileMonitor\bin\Debug</v>
          </cell>
          <cell r="C44">
            <v>3350</v>
          </cell>
          <cell r="D44">
            <v>42170.749803240738</v>
          </cell>
        </row>
        <row r="45">
          <cell r="A45" t="str">
            <v>C:\Users\DAVE\Documents\Visual Studio 2013\Projects\NOLANB\EZPayFileMonitor\EZPayFileMonitor\bin\Release\WizardWrx.DLLServices2.dll.config</v>
          </cell>
          <cell r="B45" t="str">
            <v>C:\Users\DAVE\Documents\Visual Studio 2013\Projects\NOLANB\EZPayFileMonitor\EZPayFileMonitor\bin\Release</v>
          </cell>
          <cell r="C45">
            <v>3350</v>
          </cell>
          <cell r="D45">
            <v>42170.749803240738</v>
          </cell>
        </row>
        <row r="46">
          <cell r="A46" t="str">
            <v>C:\Users\DAVE\Documents\Visual Studio 2013\Projects\NOLANB\EZXFER_Cloud_Manager\EZXFER_Cloud_Manager\WizardWrx.DLLServices2.dll.config</v>
          </cell>
          <cell r="B46" t="str">
            <v>C:\Users\DAVE\Documents\Visual Studio 2013\Projects\NOLANB\EZXFER_Cloud_Manager\EZXFER_Cloud_Manager</v>
          </cell>
          <cell r="C46">
            <v>3350</v>
          </cell>
          <cell r="D46">
            <v>42170.749803240738</v>
          </cell>
        </row>
        <row r="47">
          <cell r="A47" t="str">
            <v>C:\Users\DAVE\Documents\Visual Studio 2013\Projects\NOLANB\EZXFER_Cloud_Manager\EZXFER_Cloud_Manager\bin\Debug\WizardWrx.DLLServices2.dll.config</v>
          </cell>
          <cell r="B47" t="str">
            <v>C:\Users\DAVE\Documents\Visual Studio 2013\Projects\NOLANB\EZXFER_Cloud_Manager\EZXFER_Cloud_Manager\bin\Debug</v>
          </cell>
          <cell r="C47">
            <v>3350</v>
          </cell>
          <cell r="D47">
            <v>42170.749803240738</v>
          </cell>
        </row>
        <row r="48">
          <cell r="A48" t="str">
            <v>C:\Users\DAVE\Documents\Visual Studio 2013\Projects\NOLANB\EZXFER_Cloud_Manager\EZXFER_Cloud_Manager\bin\Release\WizardWrx.DLLServices2.dll.config</v>
          </cell>
          <cell r="B48" t="str">
            <v>C:\Users\DAVE\Documents\Visual Studio 2013\Projects\NOLANB\EZXFER_Cloud_Manager\EZXFER_Cloud_Manager\bin\Release</v>
          </cell>
          <cell r="C48">
            <v>3350</v>
          </cell>
          <cell r="D48">
            <v>42170.749803240738</v>
          </cell>
        </row>
        <row r="49">
          <cell r="A49" t="str">
            <v>C:\Users\DAVE\Documents\Visual Studio 2013\Projects\Tools_for_Programmers\CertStoreLister\CertStoreLister\WizardWrx.DLLServices2.dll.config</v>
          </cell>
          <cell r="B49" t="str">
            <v>C:\Users\DAVE\Documents\Visual Studio 2013\Projects\Tools_for_Programmers\CertStoreLister\CertStoreLister</v>
          </cell>
          <cell r="C49">
            <v>3350</v>
          </cell>
          <cell r="D49">
            <v>42170.749803240738</v>
          </cell>
        </row>
        <row r="50">
          <cell r="A50" t="str">
            <v>C:\Users\DAVE\Documents\Visual Studio 2013\Projects\Tools_for_Programmers\CertStoreLister\CertStoreLister\bin\Debug\WizardWrx.DLLServices2.dll.config</v>
          </cell>
          <cell r="B50" t="str">
            <v>C:\Users\DAVE\Documents\Visual Studio 2013\Projects\Tools_for_Programmers\CertStoreLister\CertStoreLister\bin\Debug</v>
          </cell>
          <cell r="C50">
            <v>3350</v>
          </cell>
          <cell r="D50">
            <v>42170.749803240738</v>
          </cell>
        </row>
        <row r="51">
          <cell r="A51" t="str">
            <v>C:\Users\DAVE\Documents\Visual Studio 2013\Projects\Tools_for_Programmers\PolyCat\NOTES\WizardWrx.DLLServices2.dll.config</v>
          </cell>
          <cell r="B51" t="str">
            <v>C:\Users\DAVE\Documents\Visual Studio 2013\Projects\Tools_for_Programmers\PolyCat\NOTES</v>
          </cell>
          <cell r="C51">
            <v>3350</v>
          </cell>
          <cell r="D51">
            <v>42170.749803240738</v>
          </cell>
        </row>
        <row r="52">
          <cell r="A52" t="str">
            <v>C:\Users\DAVE\Documents\Visual Studio 2013\Projects\Tools_for_Programmers\PolyCat\PolyCat\WizardWrx.DLLServices2.dll.config</v>
          </cell>
          <cell r="B52" t="str">
            <v>C:\Users\DAVE\Documents\Visual Studio 2013\Projects\Tools_for_Programmers\PolyCat\PolyCat</v>
          </cell>
          <cell r="C52">
            <v>3350</v>
          </cell>
          <cell r="D52">
            <v>42170.749803240738</v>
          </cell>
        </row>
        <row r="53">
          <cell r="A53" t="str">
            <v>C:\Users\DAVE\Documents\Visual Studio 2013\Projects\Tools_for_Programmers\PolyCat\PolyCat\bin\Debug\WizardWrx.DLLServices2.dll.config</v>
          </cell>
          <cell r="B53" t="str">
            <v>C:\Users\DAVE\Documents\Visual Studio 2013\Projects\Tools_for_Programmers\PolyCat\PolyCat\bin\Debug</v>
          </cell>
          <cell r="C53">
            <v>3350</v>
          </cell>
          <cell r="D53">
            <v>42170.749803240738</v>
          </cell>
        </row>
        <row r="54">
          <cell r="A54" t="str">
            <v>C:\Users\DAVE\Documents\Visual Studio 2013\Projects\Tools_for_Programmers\PolyCat\PolyCat\bin\Release\WizardWrx.DLLServices2.dll.config</v>
          </cell>
          <cell r="B54" t="str">
            <v>C:\Users\DAVE\Documents\Visual Studio 2013\Projects\Tools_for_Programmers\PolyCat\PolyCat\bin\Release</v>
          </cell>
          <cell r="C54">
            <v>3350</v>
          </cell>
          <cell r="D54">
            <v>42170.749803240738</v>
          </cell>
        </row>
        <row r="55">
          <cell r="A55" t="str">
            <v>C:\Users\DAVE\Documents\Visual Studio 2013\Projects\WizardWrx_Libs\_Deprecated_Libraries\ApplicationHelpers2\WizardWrx.DLLServices2.dll.config</v>
          </cell>
          <cell r="B55" t="str">
            <v>C:\Users\DAVE\Documents\Visual Studio 2013\Projects\WizardWrx_Libs\_Deprecated_Libraries\ApplicationHelpers2</v>
          </cell>
          <cell r="C55">
            <v>3350</v>
          </cell>
          <cell r="D55">
            <v>42170.749803240738</v>
          </cell>
        </row>
        <row r="56">
          <cell r="A56" t="str">
            <v>C:\Users\DAVE\Documents\Visual Studio 2013\Projects\WizardWrx_Libs\_Deprecated_Libraries\ApplicationHelpers2\ApplicationHelpers2\bin\Debug\WizardWrx.DLLServices2.dll.config</v>
          </cell>
          <cell r="B56" t="str">
            <v>C:\Users\DAVE\Documents\Visual Studio 2013\Projects\WizardWrx_Libs\_Deprecated_Libraries\ApplicationHelpers2\ApplicationHelpers2\bin\Debug</v>
          </cell>
          <cell r="C56">
            <v>3350</v>
          </cell>
          <cell r="D56">
            <v>42170.749803240738</v>
          </cell>
        </row>
        <row r="57">
          <cell r="A57" t="str">
            <v>C:\Users\DAVE\Documents\Visual Studio 2013\Projects\WizardWrx_Libs\_Deprecated_Libraries\ApplicationHelpers2\ApplicationHelpers2\bin\Release\WizardWrx.DLLServices2.dll.config</v>
          </cell>
          <cell r="B57" t="str">
            <v>C:\Users\DAVE\Documents\Visual Studio 2013\Projects\WizardWrx_Libs\_Deprecated_Libraries\ApplicationHelpers2\ApplicationHelpers2\bin\Release</v>
          </cell>
          <cell r="C57">
            <v>3350</v>
          </cell>
          <cell r="D57">
            <v>42170.749803240738</v>
          </cell>
        </row>
        <row r="58">
          <cell r="A58" t="str">
            <v>C:\Users\DAVE\Documents\Visual Studio 2013\Projects\WizardWrx_Libs\_Deprecated_Libraries\ApplicationHelpers2\ApplicationHelpers2TestHarness\ApplicationHelpers2TestHarness\WizardWrx.DLLServices2.dll.config</v>
          </cell>
          <cell r="B58" t="str">
            <v>C:\Users\DAVE\Documents\Visual Studio 2013\Projects\WizardWrx_Libs\_Deprecated_Libraries\ApplicationHelpers2\ApplicationHelpers2TestHarness\ApplicationHelpers2TestHarness</v>
          </cell>
          <cell r="C58">
            <v>3350</v>
          </cell>
          <cell r="D58">
            <v>42170.749803240738</v>
          </cell>
        </row>
        <row r="59">
          <cell r="A59" t="str">
            <v>C:\Users\DAVE\Documents\Visual Studio 2013\Projects\WizardWrx_Libs\_Deprecated_Libraries\ApplicationHelpers2\ApplicationHelpers2TestHarness\ApplicationHelpers2TestHarness\bin\Debug\WizardWrx.DLLServices2.dll.config</v>
          </cell>
          <cell r="B59" t="str">
            <v>C:\Users\DAVE\Documents\Visual Studio 2013\Projects\WizardWrx_Libs\_Deprecated_Libraries\ApplicationHelpers2\ApplicationHelpers2TestHarness\ApplicationHelpers2TestHarness\bin\Debug</v>
          </cell>
          <cell r="C59">
            <v>3350</v>
          </cell>
          <cell r="D59">
            <v>42170.749803240738</v>
          </cell>
        </row>
        <row r="60">
          <cell r="A60" t="str">
            <v>C:\Users\DAVE\Documents\Visual Studio 2013\Projects\WizardWrx_Libs\_Deprecated_Libraries\ApplicationHelpers2\ApplicationHelpers2TestHarness\ApplicationHelpers2TestHarness\bin\Release\WizardWrx.DLLServices2.dll.config</v>
          </cell>
          <cell r="B60" t="str">
            <v>C:\Users\DAVE\Documents\Visual Studio 2013\Projects\WizardWrx_Libs\_Deprecated_Libraries\ApplicationHelpers2\ApplicationHelpers2TestHarness\ApplicationHelpers2TestHarness\bin\Release</v>
          </cell>
          <cell r="C60">
            <v>3350</v>
          </cell>
          <cell r="D60">
            <v>42170.749803240738</v>
          </cell>
        </row>
        <row r="61">
          <cell r="A61" t="str">
            <v>C:\Users\DAVE\Documents\Visual Studio 2013\Projects\WizardWrx_Libs\_Deprecated_Libraries\ApplicationHelpers3\TestStand\WizardWrx.DLLServices2.dll.config</v>
          </cell>
          <cell r="B61" t="str">
            <v>C:\Users\DAVE\Documents\Visual Studio 2013\Projects\WizardWrx_Libs\_Deprecated_Libraries\ApplicationHelpers3\TestStand</v>
          </cell>
          <cell r="C61">
            <v>3350</v>
          </cell>
          <cell r="D61">
            <v>42170.749803240738</v>
          </cell>
        </row>
        <row r="62">
          <cell r="A62" t="str">
            <v>C:\Users\DAVE\Documents\Visual Studio 2013\Projects\WizardWrx_Libs\_Deprecated_Libraries\ApplicationHelpers3\TestStand\bin\Debug\WizardWrx.DLLServices2.dll.config</v>
          </cell>
          <cell r="B62" t="str">
            <v>C:\Users\DAVE\Documents\Visual Studio 2013\Projects\WizardWrx_Libs\_Deprecated_Libraries\ApplicationHelpers3\TestStand\bin\Debug</v>
          </cell>
          <cell r="C62">
            <v>3350</v>
          </cell>
          <cell r="D62">
            <v>42170.749803240738</v>
          </cell>
        </row>
        <row r="63">
          <cell r="A63" t="str">
            <v>C:\Users\DAVE\Documents\Visual Studio 2013\Projects\WizardWrx_Libs\_Deprecated_Libraries\ApplicationHelpers3\TestStand\bin\Release\WizardWrx.DLLServices2.dll.config</v>
          </cell>
          <cell r="B63" t="str">
            <v>C:\Users\DAVE\Documents\Visual Studio 2013\Projects\WizardWrx_Libs\_Deprecated_Libraries\ApplicationHelpers3\TestStand\bin\Release</v>
          </cell>
          <cell r="C63">
            <v>3350</v>
          </cell>
          <cell r="D63">
            <v>42170.749803240738</v>
          </cell>
        </row>
        <row r="64">
          <cell r="A64" t="str">
            <v>C:\Users\DAVE\Documents\Visual Studio 2013\Projects\WizardWrx_Libs\AnyCSV\AnyCSVTestStand\WizardWrx.DLLServices2.dll.config</v>
          </cell>
          <cell r="B64" t="str">
            <v>C:\Users\DAVE\Documents\Visual Studio 2013\Projects\WizardWrx_Libs\AnyCSV\AnyCSVTestStand</v>
          </cell>
          <cell r="C64">
            <v>3350</v>
          </cell>
          <cell r="D64">
            <v>42170.749803240738</v>
          </cell>
        </row>
        <row r="65">
          <cell r="A65" t="str">
            <v>C:\Users\DAVE\Documents\Visual Studio 2013\Projects\WizardWrx_Libs\AnyCSV\AnyCSVTestStand\bin\Debug\WizardWrx.DLLServices2.dll.config</v>
          </cell>
          <cell r="B65" t="str">
            <v>C:\Users\DAVE\Documents\Visual Studio 2013\Projects\WizardWrx_Libs\AnyCSV\AnyCSVTestStand\bin\Debug</v>
          </cell>
          <cell r="C65">
            <v>3350</v>
          </cell>
          <cell r="D65">
            <v>42170.749803240738</v>
          </cell>
        </row>
        <row r="66">
          <cell r="A66" t="str">
            <v>C:\Users\DAVE\Documents\Visual Studio 2013\Projects\WizardWrx_Libs\AnyCSV\AnyCSVTestStand\bin\Release\WizardWrx.DLLServices2.dll.config</v>
          </cell>
          <cell r="B66" t="str">
            <v>C:\Users\DAVE\Documents\Visual Studio 2013\Projects\WizardWrx_Libs\AnyCSV\AnyCSVTestStand\bin\Release</v>
          </cell>
          <cell r="C66">
            <v>3350</v>
          </cell>
          <cell r="D66">
            <v>42170.749803240738</v>
          </cell>
        </row>
        <row r="67">
          <cell r="A67" t="str">
            <v>C:\Users\DAVE\Documents\Visual Studio 2013\Projects\WizardWrx_Libs\AnyCSV\CSVTestStand\WizardWrx.DLLServices2.dll.config</v>
          </cell>
          <cell r="B67" t="str">
            <v>C:\Users\DAVE\Documents\Visual Studio 2013\Projects\WizardWrx_Libs\AnyCSV\CSVTestStand</v>
          </cell>
          <cell r="C67">
            <v>3350</v>
          </cell>
          <cell r="D67">
            <v>42170.749803240738</v>
          </cell>
        </row>
        <row r="68">
          <cell r="A68" t="str">
            <v>C:\Users\DAVE\Documents\Visual Studio 2013\Projects\WizardWrx_Libs\AnyCSV\CSVTestStand\bin\Debug\WizardWrx.DLLServices2.dll.config</v>
          </cell>
          <cell r="B68" t="str">
            <v>C:\Users\DAVE\Documents\Visual Studio 2013\Projects\WizardWrx_Libs\AnyCSV\CSVTestStand\bin\Debug</v>
          </cell>
          <cell r="C68">
            <v>3350</v>
          </cell>
          <cell r="D68">
            <v>42170.749803240738</v>
          </cell>
        </row>
        <row r="69">
          <cell r="A69" t="str">
            <v>C:\Users\DAVE\Documents\Visual Studio 2013\Projects\WizardWrx_Libs\AnyCSV\CSVTestStand\bin\Release\WizardWrx.DLLServices2.dll.config</v>
          </cell>
          <cell r="B69" t="str">
            <v>C:\Users\DAVE\Documents\Visual Studio 2013\Projects\WizardWrx_Libs\AnyCSV\CSVTestStand\bin\Release</v>
          </cell>
          <cell r="C69">
            <v>3350</v>
          </cell>
          <cell r="D69">
            <v>42170.749803240738</v>
          </cell>
        </row>
        <row r="70">
          <cell r="A70" t="str">
            <v>C:\Users\DAVE\Documents\Visual Studio 2013\Projects\WizardWrx_Libs\ConsoleAppAids2\ConsoleAppAids2\WizardWrx.DLLServices2.dll.config</v>
          </cell>
          <cell r="B70" t="str">
            <v>C:\Users\DAVE\Documents\Visual Studio 2013\Projects\WizardWrx_Libs\ConsoleAppAids2\ConsoleAppAids2</v>
          </cell>
          <cell r="C70">
            <v>3350</v>
          </cell>
          <cell r="D70">
            <v>42170.749803240738</v>
          </cell>
        </row>
        <row r="71">
          <cell r="A71" t="str">
            <v>C:\Users\DAVE\Documents\Visual Studio 2013\Projects\WizardWrx_Libs\ConsoleAppAids2\ConsoleAppAids2\bin\Debug\WizardWrx.DLLServices2.dll.config</v>
          </cell>
          <cell r="B71" t="str">
            <v>C:\Users\DAVE\Documents\Visual Studio 2013\Projects\WizardWrx_Libs\ConsoleAppAids2\ConsoleAppAids2\bin\Debug</v>
          </cell>
          <cell r="C71">
            <v>3350</v>
          </cell>
          <cell r="D71">
            <v>42170.749803240738</v>
          </cell>
        </row>
        <row r="72">
          <cell r="A72" t="str">
            <v>C:\Users\DAVE\Documents\Visual Studio 2013\Projects\WizardWrx_Libs\ConsoleAppAids2\ConsoleAppAids2\bin\Release\WizardWrx.DLLServices2.dll.config</v>
          </cell>
          <cell r="B72" t="str">
            <v>C:\Users\DAVE\Documents\Visual Studio 2013\Projects\WizardWrx_Libs\ConsoleAppAids2\ConsoleAppAids2\bin\Release</v>
          </cell>
          <cell r="C72">
            <v>3350</v>
          </cell>
          <cell r="D72">
            <v>42170.749803240738</v>
          </cell>
        </row>
        <row r="73">
          <cell r="A73" t="str">
            <v>C:\Users\DAVE\Documents\Visual Studio 2013\Projects\WizardWrx_Libs\ConsoleAppAids2\EOJTEST\WizardWrx.DLLServices2.dll.config</v>
          </cell>
          <cell r="B73" t="str">
            <v>C:\Users\DAVE\Documents\Visual Studio 2013\Projects\WizardWrx_Libs\ConsoleAppAids2\EOJTEST</v>
          </cell>
          <cell r="C73">
            <v>3350</v>
          </cell>
          <cell r="D73">
            <v>42170.749803240738</v>
          </cell>
        </row>
        <row r="74">
          <cell r="A74" t="str">
            <v>C:\Users\DAVE\Documents\Visual Studio 2013\Projects\WizardWrx_Libs\ConsoleAppAids2\EOJTEST\bin\Debug\WizardWrx.DLLServices2.dll.config</v>
          </cell>
          <cell r="B74" t="str">
            <v>C:\Users\DAVE\Documents\Visual Studio 2013\Projects\WizardWrx_Libs\ConsoleAppAids2\EOJTEST\bin\Debug</v>
          </cell>
          <cell r="C74">
            <v>3350</v>
          </cell>
          <cell r="D74">
            <v>42170.749803240738</v>
          </cell>
        </row>
        <row r="75">
          <cell r="A75" t="str">
            <v>C:\Users\DAVE\Documents\Visual Studio 2013\Projects\WizardWrx_Libs\ConsoleAppAids2\EOJTEST\bin\Release\WizardWrx.DLLServices2.dll.config</v>
          </cell>
          <cell r="B75" t="str">
            <v>C:\Users\DAVE\Documents\Visual Studio 2013\Projects\WizardWrx_Libs\ConsoleAppAids2\EOJTEST\bin\Release</v>
          </cell>
          <cell r="C75">
            <v>3350</v>
          </cell>
          <cell r="D75">
            <v>42170.749803240738</v>
          </cell>
        </row>
        <row r="76">
          <cell r="A76" t="str">
            <v>C:\Users\DAVE\Documents\Visual Studio 2013\Projects\WizardWrx_Libs\ConsoleAppAids2\TestStand\WizardWrx.DLLServices2.dll.config</v>
          </cell>
          <cell r="B76" t="str">
            <v>C:\Users\DAVE\Documents\Visual Studio 2013\Projects\WizardWrx_Libs\ConsoleAppAids2\TestStand</v>
          </cell>
          <cell r="C76">
            <v>3350</v>
          </cell>
          <cell r="D76">
            <v>42170.749803240738</v>
          </cell>
        </row>
        <row r="77">
          <cell r="A77" t="str">
            <v>C:\Users\DAVE\Documents\Visual Studio 2013\Projects\WizardWrx_Libs\ConsoleAppAids2\TestStand\bin\Debug\WizardWrx.DLLServices2.dll.config</v>
          </cell>
          <cell r="B77" t="str">
            <v>C:\Users\DAVE\Documents\Visual Studio 2013\Projects\WizardWrx_Libs\ConsoleAppAids2\TestStand\bin\Debug</v>
          </cell>
          <cell r="C77">
            <v>3350</v>
          </cell>
          <cell r="D77">
            <v>42170.749803240738</v>
          </cell>
        </row>
        <row r="78">
          <cell r="A78" t="str">
            <v>C:\Users\DAVE\Documents\Visual Studio 2013\Projects\WizardWrx_Libs\ConsoleAppAids2\TestStand\bin\Release\WizardWrx.DLLServices2.dll.config</v>
          </cell>
          <cell r="B78" t="str">
            <v>C:\Users\DAVE\Documents\Visual Studio 2013\Projects\WizardWrx_Libs\ConsoleAppAids2\TestStand\bin\Release</v>
          </cell>
          <cell r="C78">
            <v>3350</v>
          </cell>
          <cell r="D78">
            <v>42170.749803240738</v>
          </cell>
        </row>
        <row r="79">
          <cell r="A79" t="str">
            <v>C:\Users\DAVE\Documents\Visual Studio 2013\Projects\WizardWrx_Libs\MailForAllApps\TestStand\WizardWrx.DLLServices2.dll.config</v>
          </cell>
          <cell r="B79" t="str">
            <v>C:\Users\DAVE\Documents\Visual Studio 2013\Projects\WizardWrx_Libs\MailForAllApps\TestStand</v>
          </cell>
          <cell r="C79">
            <v>3350</v>
          </cell>
          <cell r="D79">
            <v>42170.749803240738</v>
          </cell>
        </row>
        <row r="80">
          <cell r="A80" t="str">
            <v>C:\Users\DAVE\Documents\Visual Studio 2013\Projects\WizardWrx_Libs\MailForAllApps\TestStand\bin\Debug\WizardWrx.DLLServices2.dll.config</v>
          </cell>
          <cell r="B80" t="str">
            <v>C:\Users\DAVE\Documents\Visual Studio 2013\Projects\WizardWrx_Libs\MailForAllApps\TestStand\bin\Debug</v>
          </cell>
          <cell r="C80">
            <v>3350</v>
          </cell>
          <cell r="D80">
            <v>42170.749803240738</v>
          </cell>
        </row>
        <row r="81">
          <cell r="A81" t="str">
            <v>C:\Users\DAVE\Documents\Visual Studio 2013\Projects\WizardWrx_Libs\MailForAllApps\TestStand\bin\Release\WizardWrx.DLLServices2.dll.config</v>
          </cell>
          <cell r="B81" t="str">
            <v>C:\Users\DAVE\Documents\Visual Studio 2013\Projects\WizardWrx_Libs\MailForAllApps\TestStand\bin\Release</v>
          </cell>
          <cell r="C81">
            <v>3350</v>
          </cell>
          <cell r="D81">
            <v>42170.749803240738</v>
          </cell>
        </row>
        <row r="82">
          <cell r="A82" t="str">
            <v>C:\Users\DAVE\Documents\Visual Studio 2013\Projects\WizardWrx_Libs\SharedUtl4\SharedUtl4_TestStand\WizardWrx.DLLServices2.dll.config</v>
          </cell>
          <cell r="B82" t="str">
            <v>C:\Users\DAVE\Documents\Visual Studio 2013\Projects\WizardWrx_Libs\SharedUtl4\SharedUtl4_TestStand</v>
          </cell>
          <cell r="C82">
            <v>3350</v>
          </cell>
          <cell r="D82">
            <v>42170.749803240738</v>
          </cell>
        </row>
        <row r="83">
          <cell r="A83" t="str">
            <v>C:\Users\DAVE\Documents\Visual Studio 2013\Projects\WizardWrx_Libs\SharedUtl4\SharedUtl4_TestStand\bin\Debug\WizardWrx.DLLServices2.dll.config</v>
          </cell>
          <cell r="B83" t="str">
            <v>C:\Users\DAVE\Documents\Visual Studio 2013\Projects\WizardWrx_Libs\SharedUtl4\SharedUtl4_TestStand\bin\Debug</v>
          </cell>
          <cell r="C83">
            <v>3350</v>
          </cell>
          <cell r="D83">
            <v>42170.749803240738</v>
          </cell>
        </row>
        <row r="84">
          <cell r="A84" t="str">
            <v>C:\Users\DAVE\Documents\Visual Studio 2013\Projects\WizardWrx_Libs\SharedUtl4\SharedUtl4_TestStand\bin\Release\WizardWrx.DLLServices2.dll.config</v>
          </cell>
          <cell r="B84" t="str">
            <v>C:\Users\DAVE\Documents\Visual Studio 2013\Projects\WizardWrx_Libs\SharedUtl4\SharedUtl4_TestStand\bin\Release</v>
          </cell>
          <cell r="C84">
            <v>3350</v>
          </cell>
          <cell r="D84">
            <v>42170.749803240738</v>
          </cell>
        </row>
        <row r="85">
          <cell r="A85" t="str">
            <v>C:\Users\DAVE\Documents\Visual Studio 2013\Projects\NOLANB\ZZRdInts\ZZRdInts\WizardWrx.DLLServices2.dll.config</v>
          </cell>
          <cell r="B85" t="str">
            <v>C:\Users\DAVE\Documents\Visual Studio 2013\Projects\NOLANB\ZZRdInts\ZZRdInts</v>
          </cell>
          <cell r="C85">
            <v>2976</v>
          </cell>
          <cell r="D85">
            <v>42003.620300925926</v>
          </cell>
        </row>
        <row r="86">
          <cell r="A86" t="str">
            <v>C:\Users\DAVE\Documents\Visual Studio 2013\Projects\NOLANB\ZZRdInts\ZZRdInts\bin\Debug\WizardWrx.DLLServices2.dll.config</v>
          </cell>
          <cell r="B86" t="str">
            <v>C:\Users\DAVE\Documents\Visual Studio 2013\Projects\NOLANB\ZZRdInts\ZZRdInts\bin\Debug</v>
          </cell>
          <cell r="C86">
            <v>2976</v>
          </cell>
          <cell r="D86">
            <v>42003.620300925926</v>
          </cell>
        </row>
        <row r="87">
          <cell r="A87" t="str">
            <v>C:\Users\DAVE\Documents\Visual Studio 2013\Projects\NOLANB\ZZRdInts\ZZRdInts\bin\Release\WizardWrx.DLLServices2.dll.config</v>
          </cell>
          <cell r="B87" t="str">
            <v>C:\Users\DAVE\Documents\Visual Studio 2013\Projects\NOLANB\ZZRdInts\ZZRdInts\bin\Release</v>
          </cell>
          <cell r="C87">
            <v>2976</v>
          </cell>
          <cell r="D87">
            <v>42003.620300925926</v>
          </cell>
        </row>
        <row r="88">
          <cell r="A88" t="str">
            <v>C:\ProgramData\Documents\H_DEASE\AI_PKG_400\WizardWrx.DLLServices2.dll.config</v>
          </cell>
          <cell r="B88" t="str">
            <v>C:\ProgramData\Documents\H_DEASE\AI_PKG_400</v>
          </cell>
          <cell r="C88">
            <v>2976</v>
          </cell>
          <cell r="D88">
            <v>41891.714513888888</v>
          </cell>
        </row>
        <row r="89">
          <cell r="A89" t="str">
            <v>C:\ProgramData\Documents\H_DEASE\UTIL_from_ZAPHOD42\WizardWrx.DLLServices2.dll.config</v>
          </cell>
          <cell r="B89" t="str">
            <v>C:\ProgramData\Documents\H_DEASE\UTIL_from_ZAPHOD42</v>
          </cell>
          <cell r="C89">
            <v>2976</v>
          </cell>
          <cell r="D89">
            <v>41891.714513888888</v>
          </cell>
        </row>
        <row r="90">
          <cell r="A90" t="str">
            <v>C:\ProgramData\Documents\NOLANB\_Installation_Packages\Remote\2014\20141010\AI_PKG_400\WizardWrx.DLLServices2.dll.config</v>
          </cell>
          <cell r="B90" t="str">
            <v>C:\ProgramData\Documents\NOLANB\_Installation_Packages\Remote\2014\20141010\AI_PKG_400</v>
          </cell>
          <cell r="C90">
            <v>2976</v>
          </cell>
          <cell r="D90">
            <v>41891.714513888888</v>
          </cell>
        </row>
        <row r="91">
          <cell r="A91" t="str">
            <v>C:\ProgramData\Documents\NOLANB\_Installation_Packages\UTIL_Reference\WizardWrx.DLLServices2.dll.config</v>
          </cell>
          <cell r="B91" t="str">
            <v>C:\ProgramData\Documents\NOLANB\_Installation_Packages\UTIL_Reference</v>
          </cell>
          <cell r="C91">
            <v>2976</v>
          </cell>
          <cell r="D91">
            <v>41891.714513888888</v>
          </cell>
        </row>
        <row r="92">
          <cell r="A92" t="str">
            <v>C:\Users\DAVE\Documents\Visual Studio 2013\Projects\NOLANB\EZPayFileMonitor\EZPayFileMonitor\WizardWrx.DLLServices2.dll.config</v>
          </cell>
          <cell r="B92" t="str">
            <v>C:\Users\DAVE\Documents\Visual Studio 2013\Projects\NOLANB\EZPayFileMonitor\EZPayFileMonitor</v>
          </cell>
          <cell r="C92">
            <v>2976</v>
          </cell>
          <cell r="D92">
            <v>41891.714513888888</v>
          </cell>
        </row>
        <row r="93">
          <cell r="A93" t="str">
            <v>C:\Users\Public\Documents\H_DEASE\AI_PKG_400\WizardWrx.DLLServices2.dll.config</v>
          </cell>
          <cell r="B93" t="str">
            <v>C:\Users\Public\Documents\H_DEASE\AI_PKG_400</v>
          </cell>
          <cell r="C93">
            <v>2976</v>
          </cell>
          <cell r="D93">
            <v>41891.714513888888</v>
          </cell>
        </row>
        <row r="94">
          <cell r="A94" t="str">
            <v>C:\Users\Public\Documents\H_DEASE\UTIL_from_ZAPHOD42\WizardWrx.DLLServices2.dll.config</v>
          </cell>
          <cell r="B94" t="str">
            <v>C:\Users\Public\Documents\H_DEASE\UTIL_from_ZAPHOD42</v>
          </cell>
          <cell r="C94">
            <v>2976</v>
          </cell>
          <cell r="D94">
            <v>41891.714513888888</v>
          </cell>
        </row>
        <row r="95">
          <cell r="A95" t="str">
            <v>C:\Users\Public\Documents\NOLANB\_Installation_Packages\Remote\2014\20141010\AI_PKG_400\WizardWrx.DLLServices2.dll.config</v>
          </cell>
          <cell r="B95" t="str">
            <v>C:\Users\Public\Documents\NOLANB\_Installation_Packages\Remote\2014\20141010\AI_PKG_400</v>
          </cell>
          <cell r="C95">
            <v>2976</v>
          </cell>
          <cell r="D95">
            <v>41891.714513888888</v>
          </cell>
        </row>
        <row r="96">
          <cell r="A96" t="str">
            <v>C:\Users\Public\Documents\NOLANB\_Installation_Packages\UTIL_Reference\WizardWrx.DLLServices2.dll.config</v>
          </cell>
          <cell r="B96" t="str">
            <v>C:\Users\Public\Documents\NOLANB\_Installation_Packages\UTIL_Reference</v>
          </cell>
          <cell r="C96">
            <v>2976</v>
          </cell>
          <cell r="D96">
            <v>41891.714513888888</v>
          </cell>
        </row>
        <row r="97">
          <cell r="A97" t="str">
            <v>C:\UTIL\WizardWrx.DLLServices2.dll.config</v>
          </cell>
          <cell r="B97" t="str">
            <v>C:\UTIL</v>
          </cell>
          <cell r="C97">
            <v>2976</v>
          </cell>
          <cell r="D97">
            <v>41891.714490740742</v>
          </cell>
        </row>
        <row r="98">
          <cell r="A98" t="str">
            <v>C:\ProgramData\Documents\NOLANB\TASKS\_PTI_Gate_2016\UTIL_Rock_Hill\WizardWrx.DLLServices2.dll.config</v>
          </cell>
          <cell r="B98" t="str">
            <v>C:\ProgramData\Documents\NOLANB\TASKS\_PTI_Gate_2016\UTIL_Rock_Hill</v>
          </cell>
          <cell r="C98">
            <v>2976</v>
          </cell>
          <cell r="D98">
            <v>41891.672847222224</v>
          </cell>
        </row>
        <row r="99">
          <cell r="A99" t="str">
            <v>C:\Users\Public\Documents\NOLANB\TASKS\_PTI_Gate_2016\UTIL_Rock_Hill\WizardWrx.DLLServices2.dll.config</v>
          </cell>
          <cell r="B99" t="str">
            <v>C:\Users\Public\Documents\NOLANB\TASKS\_PTI_Gate_2016\UTIL_Rock_Hill</v>
          </cell>
          <cell r="C99">
            <v>2976</v>
          </cell>
          <cell r="D99">
            <v>41891.672847222224</v>
          </cell>
        </row>
        <row r="100">
          <cell r="A100" t="str">
            <v>C:\Users\DAVE\Documents\Articles_2015\Console_Output_Magic\Console_Color_Writer\TestStand\WizardWrx.DLLServices2.dll.config</v>
          </cell>
          <cell r="B100" t="str">
            <v>C:\Users\DAVE\Documents\Articles_2015\Console_Output_Magic\Console_Color_Writer\TestStand</v>
          </cell>
          <cell r="C100">
            <v>2976</v>
          </cell>
          <cell r="D100">
            <v>41840.902037037034</v>
          </cell>
        </row>
        <row r="101">
          <cell r="A101" t="str">
            <v>C:\ProgramData\Documents\NOLANB\TASKS\Corrupted_HO_Logbase\distribution\WizardWrx.DLLServices2.dll.config</v>
          </cell>
          <cell r="B101" t="str">
            <v>C:\ProgramData\Documents\NOLANB\TASKS\Corrupted_HO_Logbase\distribution</v>
          </cell>
          <cell r="C101">
            <v>2976</v>
          </cell>
          <cell r="D101">
            <v>41832.649212962962</v>
          </cell>
        </row>
        <row r="102">
          <cell r="A102" t="str">
            <v>C:\Users\DAVE\Documents\Visual Studio 2013\Projects\NOLANB\LogBasePruner\LogBasePruner\WizardWrx.DLLServices2.dll.config</v>
          </cell>
          <cell r="B102" t="str">
            <v>C:\Users\DAVE\Documents\Visual Studio 2013\Projects\NOLANB\LogBasePruner\LogBasePruner</v>
          </cell>
          <cell r="C102">
            <v>2976</v>
          </cell>
          <cell r="D102">
            <v>41832.649212962962</v>
          </cell>
        </row>
        <row r="103">
          <cell r="A103" t="str">
            <v>C:\Users\DAVE\Documents\Visual Studio 2013\Projects\NOLANB\LogBasePruner\LogBasePruner\bin\Debug\WizardWrx.DLLServices2.dll.config</v>
          </cell>
          <cell r="B103" t="str">
            <v>C:\Users\DAVE\Documents\Visual Studio 2013\Projects\NOLANB\LogBasePruner\LogBasePruner\bin\Debug</v>
          </cell>
          <cell r="C103">
            <v>2976</v>
          </cell>
          <cell r="D103">
            <v>41832.649212962962</v>
          </cell>
        </row>
        <row r="104">
          <cell r="A104" t="str">
            <v>C:\Users\DAVE\Documents\Visual Studio 2013\Projects\NOLANB\LogBasePruner\LogBasePruner\bin\Release\WizardWrx.DLLServices2.dll.config</v>
          </cell>
          <cell r="B104" t="str">
            <v>C:\Users\DAVE\Documents\Visual Studio 2013\Projects\NOLANB\LogBasePruner\LogBasePruner\bin\Release</v>
          </cell>
          <cell r="C104">
            <v>2976</v>
          </cell>
          <cell r="D104">
            <v>41832.649212962962</v>
          </cell>
        </row>
        <row r="105">
          <cell r="A105" t="str">
            <v>C:\Users\Public\Documents\NOLANB\TASKS\Corrupted_HO_Logbase\distribution\WizardWrx.DLLServices2.dll.config</v>
          </cell>
          <cell r="B105" t="str">
            <v>C:\Users\Public\Documents\NOLANB\TASKS\Corrupted_HO_Logbase\distribution</v>
          </cell>
          <cell r="C105">
            <v>2976</v>
          </cell>
          <cell r="D105">
            <v>41832.649212962962</v>
          </cell>
        </row>
        <row r="106">
          <cell r="A106" t="str">
            <v>C:\Users\DAVE\Documents\Articles_2015\Console_Output_Magic\Console_Color_Writer\ConsoleAppAids2\WizardWrx.DLLServices2.dll.config</v>
          </cell>
          <cell r="B106" t="str">
            <v>C:\Users\DAVE\Documents\Articles_2015\Console_Output_Magic\Console_Color_Writer\ConsoleAppAids2</v>
          </cell>
          <cell r="C106">
            <v>2976</v>
          </cell>
          <cell r="D106">
            <v>41813.462777777779</v>
          </cell>
        </row>
        <row r="107">
          <cell r="A107" t="str">
            <v>C:\Users\DAVE\Documents\Articles_2015\Console_Output_Magic\Console_Color_Writer\ConsoleAppAids2\bin\Debug\WizardWrx.DLLServices2.dll.config</v>
          </cell>
          <cell r="B107" t="str">
            <v>C:\Users\DAVE\Documents\Articles_2015\Console_Output_Magic\Console_Color_Writer\ConsoleAppAids2\bin\Debug</v>
          </cell>
          <cell r="C107">
            <v>2976</v>
          </cell>
          <cell r="D107">
            <v>41813.462777777779</v>
          </cell>
        </row>
        <row r="108">
          <cell r="A108" t="str">
            <v>C:\Users\DAVE\Documents\Articles_2015\Console_Output_Magic\Console_Color_Writer\ConsoleAppAids2\bin\Release\WizardWrx.DLLServices2.dll.config</v>
          </cell>
          <cell r="B108" t="str">
            <v>C:\Users\DAVE\Documents\Articles_2015\Console_Output_Magic\Console_Color_Writer\ConsoleAppAids2\bin\Release</v>
          </cell>
          <cell r="C108">
            <v>2976</v>
          </cell>
          <cell r="D108">
            <v>41813.462777777779</v>
          </cell>
        </row>
        <row r="109">
          <cell r="A109" t="str">
            <v>C:\Users\DAVE\Documents\Articles_2015\Console_Output_Magic\Console_Color_Writer\TestStand\bin\Debug\WizardWrx.DLLServices2.dll.config</v>
          </cell>
          <cell r="B109" t="str">
            <v>C:\Users\DAVE\Documents\Articles_2015\Console_Output_Magic\Console_Color_Writer\TestStand\bin\Debug</v>
          </cell>
          <cell r="C109">
            <v>2976</v>
          </cell>
          <cell r="D109">
            <v>41813.462777777779</v>
          </cell>
        </row>
        <row r="110">
          <cell r="A110" t="str">
            <v>C:\Users\DAVE\Documents\Articles_2015\Console_Output_Magic\Console_Color_Writer\TestStand\bin\Release\WizardWrx.DLLServices2.dll.config</v>
          </cell>
          <cell r="B110" t="str">
            <v>C:\Users\DAVE\Documents\Articles_2015\Console_Output_Magic\Console_Color_Writer\TestStand\bin\Release</v>
          </cell>
          <cell r="C110">
            <v>2976</v>
          </cell>
          <cell r="D110">
            <v>41813.462777777779</v>
          </cell>
        </row>
        <row r="111">
          <cell r="A111" t="str">
            <v>C:\Users\DAVE\Documents\Articles_2015\Console_Output_Magic\DLLServices2\DLLServices2\WizardWrx.DLLServices2.dll.config</v>
          </cell>
          <cell r="B111" t="str">
            <v>C:\Users\DAVE\Documents\Articles_2015\Console_Output_Magic\DLLServices2\DLLServices2</v>
          </cell>
          <cell r="C111">
            <v>2976</v>
          </cell>
          <cell r="D111">
            <v>41812.710462962961</v>
          </cell>
        </row>
        <row r="112">
          <cell r="A112" t="str">
            <v>C:\Users\DAVE\Documents\Articles_2015\Console_Output_Magic\DLLServices2\DLLServices2\bin\Debug\WizardWrx.DLLServices2.dll.config</v>
          </cell>
          <cell r="B112" t="str">
            <v>C:\Users\DAVE\Documents\Articles_2015\Console_Output_Magic\DLLServices2\DLLServices2\bin\Debug</v>
          </cell>
          <cell r="C112">
            <v>2976</v>
          </cell>
          <cell r="D112">
            <v>41812.710462962961</v>
          </cell>
        </row>
        <row r="113">
          <cell r="A113" t="str">
            <v>C:\Users\DAVE\Documents\Articles_2015\Console_Output_Magic\DLLServices2\DLLServices2\bin\Release\WizardWrx.DLLServices2.dll.config</v>
          </cell>
          <cell r="B113" t="str">
            <v>C:\Users\DAVE\Documents\Articles_2015\Console_Output_Magic\DLLServices2\DLLServices2\bin\Release</v>
          </cell>
          <cell r="C113">
            <v>2976</v>
          </cell>
          <cell r="D113">
            <v>41812.710462962961</v>
          </cell>
        </row>
        <row r="114">
          <cell r="A114" t="str">
            <v>C:\Users\DAVE\Documents\Articles_2015\Console_Output_Magic\DLLServices2\DLLServices2TestStand\bin\Debug\WizardWrx.DLLServices2.dll.config</v>
          </cell>
          <cell r="B114" t="str">
            <v>C:\Users\DAVE\Documents\Articles_2015\Console_Output_Magic\DLLServices2\DLLServices2TestStand\bin\Debug</v>
          </cell>
          <cell r="C114">
            <v>2976</v>
          </cell>
          <cell r="D114">
            <v>41812.710462962961</v>
          </cell>
        </row>
        <row r="115">
          <cell r="A115" t="str">
            <v>C:\Users\DAVE\Documents\Articles_2015\Console_Output_Magic\DLLServices2\DLLServices2TestStand\bin\Release\WizardWrx.DLLServices2.dll.config</v>
          </cell>
          <cell r="B115" t="str">
            <v>C:\Users\DAVE\Documents\Articles_2015\Console_Output_Magic\DLLServices2\DLLServices2TestStand\bin\Release</v>
          </cell>
          <cell r="C115">
            <v>2976</v>
          </cell>
          <cell r="D115">
            <v>41812.710462962961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5"/>
  <sheetViews>
    <sheetView tabSelected="1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defaultRowHeight="15" x14ac:dyDescent="0.25"/>
  <cols>
    <col min="1" max="1" width="19.125" bestFit="1" customWidth="1"/>
    <col min="2" max="2" width="20.125" bestFit="1" customWidth="1"/>
    <col min="3" max="3" width="14" bestFit="1" customWidth="1"/>
    <col min="4" max="4" width="12.875" bestFit="1" customWidth="1"/>
    <col min="5" max="5" width="17.125" bestFit="1" customWidth="1"/>
    <col min="6" max="6" width="13" bestFit="1" customWidth="1"/>
    <col min="7" max="7" width="12.875" bestFit="1" customWidth="1"/>
    <col min="8" max="8" width="17.125" bestFit="1" customWidth="1"/>
    <col min="9" max="9" width="13" bestFit="1" customWidth="1"/>
    <col min="10" max="10" width="12.875" bestFit="1" customWidth="1"/>
    <col min="11" max="11" width="8.75" bestFit="1" customWidth="1"/>
  </cols>
  <sheetData>
    <row r="1" spans="1:11" ht="22.5" x14ac:dyDescent="0.3">
      <c r="A1" s="1" t="s">
        <v>0</v>
      </c>
      <c r="B1" s="8"/>
      <c r="C1" s="13" t="s">
        <v>1</v>
      </c>
      <c r="D1" s="14"/>
      <c r="E1" s="15" t="s">
        <v>2</v>
      </c>
      <c r="F1" s="13"/>
      <c r="G1" s="14"/>
      <c r="H1" s="15" t="s">
        <v>3</v>
      </c>
      <c r="I1" s="13"/>
      <c r="J1" s="14"/>
      <c r="K1" s="2"/>
    </row>
    <row r="2" spans="1:11" ht="18" x14ac:dyDescent="0.25">
      <c r="A2" s="2" t="s">
        <v>4</v>
      </c>
      <c r="B2" s="2" t="s">
        <v>7</v>
      </c>
      <c r="C2" s="2" t="s">
        <v>5</v>
      </c>
      <c r="D2" s="2" t="s">
        <v>6</v>
      </c>
      <c r="E2" s="2" t="s">
        <v>7</v>
      </c>
      <c r="F2" s="2" t="s">
        <v>5</v>
      </c>
      <c r="G2" s="3" t="s">
        <v>6</v>
      </c>
      <c r="H2" s="2" t="s">
        <v>7</v>
      </c>
      <c r="I2" s="2" t="s">
        <v>5</v>
      </c>
      <c r="J2" s="2" t="s">
        <v>6</v>
      </c>
      <c r="K2" s="2" t="s">
        <v>8</v>
      </c>
    </row>
    <row r="3" spans="1:11" x14ac:dyDescent="0.25">
      <c r="A3" s="4" t="s">
        <v>9</v>
      </c>
      <c r="B3" s="22">
        <v>42534.000532407408</v>
      </c>
      <c r="C3" s="5" t="s">
        <v>109</v>
      </c>
      <c r="D3" s="5" t="s">
        <v>10</v>
      </c>
      <c r="E3" s="6">
        <v>41908.056944444441</v>
      </c>
      <c r="F3" s="4" t="s">
        <v>11</v>
      </c>
      <c r="G3" s="5">
        <v>2014</v>
      </c>
      <c r="H3" s="6">
        <v>42524</v>
      </c>
      <c r="I3" s="4" t="s">
        <v>12</v>
      </c>
      <c r="J3" s="5">
        <v>2014</v>
      </c>
      <c r="K3" s="7" t="s">
        <v>13</v>
      </c>
    </row>
    <row r="4" spans="1:11" x14ac:dyDescent="0.25">
      <c r="A4" s="4" t="s">
        <v>14</v>
      </c>
      <c r="B4" s="22">
        <v>42534.000439814816</v>
      </c>
      <c r="C4" s="5" t="s">
        <v>107</v>
      </c>
      <c r="D4" s="5" t="s">
        <v>10</v>
      </c>
      <c r="E4" s="6">
        <f>E3</f>
        <v>41908.056944444441</v>
      </c>
      <c r="F4" s="4" t="s">
        <v>15</v>
      </c>
      <c r="G4" s="5">
        <v>2014</v>
      </c>
      <c r="H4" s="6">
        <v>42526.102777777778</v>
      </c>
      <c r="I4" s="4" t="s">
        <v>16</v>
      </c>
      <c r="J4" s="5">
        <v>2014</v>
      </c>
      <c r="K4" s="7" t="s">
        <v>13</v>
      </c>
    </row>
    <row r="5" spans="1:11" x14ac:dyDescent="0.25">
      <c r="A5" s="4" t="s">
        <v>17</v>
      </c>
      <c r="B5" s="22">
        <v>42534.000486111108</v>
      </c>
      <c r="C5" s="5" t="s">
        <v>108</v>
      </c>
      <c r="D5" s="5" t="s">
        <v>18</v>
      </c>
      <c r="E5" s="6">
        <f>E4</f>
        <v>41908.056944444441</v>
      </c>
      <c r="F5" s="4" t="s">
        <v>19</v>
      </c>
      <c r="G5" s="5" t="s">
        <v>20</v>
      </c>
      <c r="H5" s="6">
        <v>42526.239583333336</v>
      </c>
      <c r="I5" s="4" t="s">
        <v>21</v>
      </c>
      <c r="J5" s="5" t="s">
        <v>20</v>
      </c>
      <c r="K5" s="7" t="s">
        <v>13</v>
      </c>
    </row>
  </sheetData>
  <mergeCells count="3">
    <mergeCell ref="C1:D1"/>
    <mergeCell ref="E1:G1"/>
    <mergeCell ref="H1:J1"/>
  </mergeCells>
  <conditionalFormatting sqref="A3:K5">
    <cfRule type="expression" dxfId="10" priority="11">
      <formula>OR($K3="Done",$K3="Fixed",$K3="OK")</formula>
    </cfRule>
  </conditionalFormatting>
  <conditionalFormatting sqref="A3:B3">
    <cfRule type="expression" dxfId="9" priority="10">
      <formula>OR(ISBLANK(A3),LEN(A3)=0)</formula>
    </cfRule>
  </conditionalFormatting>
  <conditionalFormatting sqref="C3:K3">
    <cfRule type="expression" dxfId="8" priority="9">
      <formula>OR(isempty(C3),LEN(C3)=0)</formula>
    </cfRule>
  </conditionalFormatting>
  <conditionalFormatting sqref="C3:K3">
    <cfRule type="expression" dxfId="7" priority="8">
      <formula>OR(ISBLANK(C3),LEN(C3)=0)</formula>
    </cfRule>
  </conditionalFormatting>
  <conditionalFormatting sqref="A4:B5">
    <cfRule type="expression" dxfId="6" priority="7">
      <formula>OR(ISBLANK(A4),LEN(A4)=0)</formula>
    </cfRule>
  </conditionalFormatting>
  <conditionalFormatting sqref="C4:K5">
    <cfRule type="expression" dxfId="5" priority="6">
      <formula>OR(isempty(C4),LEN(C4)=0)</formula>
    </cfRule>
  </conditionalFormatting>
  <conditionalFormatting sqref="C4:K5">
    <cfRule type="expression" dxfId="4" priority="5">
      <formula>OR(ISBLANK(C4),LEN(C4)=0)</formula>
    </cfRule>
  </conditionalFormatting>
  <conditionalFormatting sqref="C4:D4">
    <cfRule type="expression" dxfId="3" priority="4">
      <formula>OR(isempty(C4),LEN(C4)=0)</formula>
    </cfRule>
  </conditionalFormatting>
  <conditionalFormatting sqref="C4:D4">
    <cfRule type="expression" dxfId="2" priority="3">
      <formula>OR(ISBLANK(C4),LEN(C4)=0)</formula>
    </cfRule>
  </conditionalFormatting>
  <conditionalFormatting sqref="C5:D5">
    <cfRule type="expression" dxfId="1" priority="2">
      <formula>OR(isempty(C5),LEN(C5)=0)</formula>
    </cfRule>
  </conditionalFormatting>
  <conditionalFormatting sqref="C5:D5">
    <cfRule type="expression" dxfId="0" priority="1">
      <formula>OR(ISBLANK(C5),LEN(C5)=0)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opLeftCell="B1" workbookViewId="0">
      <selection activeCell="B11" sqref="B11"/>
    </sheetView>
  </sheetViews>
  <sheetFormatPr defaultRowHeight="15" x14ac:dyDescent="0.25"/>
  <cols>
    <col min="1" max="1" width="115" bestFit="1" customWidth="1"/>
    <col min="2" max="2" width="93.375" bestFit="1" customWidth="1"/>
    <col min="3" max="3" width="15.5" bestFit="1" customWidth="1"/>
    <col min="4" max="4" width="4.375" bestFit="1" customWidth="1"/>
    <col min="5" max="5" width="3.125" bestFit="1" customWidth="1"/>
    <col min="6" max="6" width="4.625" bestFit="1" customWidth="1"/>
    <col min="7" max="7" width="28.375" bestFit="1" customWidth="1"/>
    <col min="8" max="8" width="23.25" bestFit="1" customWidth="1"/>
    <col min="9" max="9" width="29.5" hidden="1" customWidth="1"/>
    <col min="10" max="10" width="50.125" bestFit="1" customWidth="1"/>
    <col min="11" max="11" width="11.625" bestFit="1" customWidth="1"/>
    <col min="12" max="12" width="4.625" bestFit="1" customWidth="1"/>
    <col min="13" max="13" width="2.875" bestFit="1" customWidth="1"/>
    <col min="14" max="14" width="23.25" bestFit="1" customWidth="1"/>
    <col min="15" max="15" width="7.75" bestFit="1" customWidth="1"/>
    <col min="16" max="16" width="100.625" bestFit="1" customWidth="1"/>
    <col min="17" max="17" width="30.5" bestFit="1" customWidth="1"/>
  </cols>
  <sheetData>
    <row r="1" spans="1:17" ht="27" x14ac:dyDescent="0.35">
      <c r="A1" s="16" t="s">
        <v>36</v>
      </c>
      <c r="B1" s="17"/>
      <c r="C1" s="16" t="s">
        <v>35</v>
      </c>
      <c r="D1" s="18"/>
      <c r="E1" s="18"/>
      <c r="F1" s="18"/>
      <c r="G1" s="18"/>
      <c r="H1" s="18"/>
      <c r="I1" s="18"/>
      <c r="J1" s="17"/>
      <c r="K1" s="16" t="s">
        <v>43</v>
      </c>
      <c r="L1" s="18"/>
      <c r="M1" s="18"/>
      <c r="N1" s="18"/>
      <c r="O1" s="17"/>
      <c r="P1" s="9"/>
      <c r="Q1" s="9"/>
    </row>
    <row r="2" spans="1:17" ht="18" x14ac:dyDescent="0.25">
      <c r="A2" s="9" t="s">
        <v>37</v>
      </c>
      <c r="B2" s="9" t="s">
        <v>38</v>
      </c>
      <c r="C2" s="9" t="s">
        <v>34</v>
      </c>
      <c r="D2" s="9" t="str">
        <f>CONCATENATE("@",CHAR(34))</f>
        <v>@"</v>
      </c>
      <c r="E2" s="9" t="str">
        <f>CONCATENATE(CHAR(34),";")</f>
        <v>";</v>
      </c>
      <c r="F2" s="11" t="s">
        <v>40</v>
      </c>
      <c r="G2" s="9" t="s">
        <v>4</v>
      </c>
      <c r="H2" s="9" t="s">
        <v>42</v>
      </c>
      <c r="I2" s="9" t="s">
        <v>54</v>
      </c>
      <c r="J2" s="9" t="s">
        <v>55</v>
      </c>
      <c r="K2" s="9" t="s">
        <v>39</v>
      </c>
      <c r="L2" s="9" t="str">
        <f>CONCATENATE(CHAR(32),"=",CHAR(32))</f>
        <v xml:space="preserve"> = </v>
      </c>
      <c r="M2" s="9" t="s">
        <v>41</v>
      </c>
      <c r="N2" s="9" t="s">
        <v>4</v>
      </c>
      <c r="O2" s="9" t="s">
        <v>42</v>
      </c>
      <c r="P2" s="9" t="s">
        <v>52</v>
      </c>
      <c r="Q2" s="9" t="s">
        <v>53</v>
      </c>
    </row>
    <row r="3" spans="1:17" x14ac:dyDescent="0.25">
      <c r="A3" s="10" t="s">
        <v>22</v>
      </c>
      <c r="B3" s="10" t="s">
        <v>28</v>
      </c>
      <c r="C3" s="10">
        <f>IF(ISBLANK($A3),"",FIND(C$2,$A3))</f>
        <v>9</v>
      </c>
      <c r="D3" s="10">
        <f>IF(ISBLANK($A3),"",FIND(D$2,$A3))</f>
        <v>45</v>
      </c>
      <c r="E3" s="10">
        <f>IF(ISBLANK($A3),"",FIND(E$2,$A3))</f>
        <v>62</v>
      </c>
      <c r="F3" s="10">
        <f>IF(ISBLANK($A3),"",FIND(F$2,$A3))</f>
        <v>81</v>
      </c>
      <c r="G3" s="10" t="str">
        <f t="shared" ref="G3:G9" si="0">IF(ISBLANK($A3),"",TRIM(MID($A3,C3+LEN(C$2)+1,D3-(C3+LEN(C$2)+3))))</f>
        <v>TEST_MAXSTRINGLENGTH</v>
      </c>
      <c r="H3" s="10" t="str">
        <f>IF(ISBLANK($A3),"",TRIM(MID($A3,D3+LEN(D$2),E3-(D3+LEN(D$2)))))</f>
        <v>MaxStringLength</v>
      </c>
      <c r="I3" s="10" t="str">
        <f>IF(ISBLANK(A3),"",RIGHT(A3,LEN(A3)-(F3+LEN(F3))))</f>
        <v>MaxStringLength_Tests</v>
      </c>
      <c r="J3" s="10" t="s">
        <v>60</v>
      </c>
      <c r="K3" s="10">
        <f>IF(ISBLANK($B3),"",FIND(K$2,$B3))</f>
        <v>9</v>
      </c>
      <c r="L3" s="10">
        <f>IF(ISBLANK($B3),"",FIND(L$2,$B3))</f>
        <v>41</v>
      </c>
      <c r="M3" s="10">
        <f>IF(ISBLANK($B3),"",FIND(M$2,$B3))</f>
        <v>45</v>
      </c>
      <c r="N3" s="10" t="str">
        <f t="shared" ref="N3:N9" si="1">IF(ISBLANK($B3),"",TRIM(MID($B3,K3+LEN(K$2)+1,L3-(K3+LEN(K$2)))))</f>
        <v>CHOICE_MAXSTRINGLENGTH</v>
      </c>
      <c r="O3" s="10">
        <f>IF(ISBLANK($B3),"",INT(TRIM(MID($B3,L3+LEN(L$2),M3-(L3+LEN(L$2))))))</f>
        <v>0</v>
      </c>
      <c r="P3" s="10" t="s">
        <v>46</v>
      </c>
      <c r="Q3" s="10" t="str">
        <f>IF(ISBLANK(A3),"",CONCATENATE(G3," ,"))</f>
        <v>TEST_MAXSTRINGLENGTH ,</v>
      </c>
    </row>
    <row r="4" spans="1:17" x14ac:dyDescent="0.25">
      <c r="A4" s="10" t="s">
        <v>23</v>
      </c>
      <c r="B4" s="10" t="s">
        <v>29</v>
      </c>
      <c r="C4" s="10">
        <f t="shared" ref="C4:F9" si="2">IF(ISBLANK($A4),"",FIND(C$2,$A4))</f>
        <v>9</v>
      </c>
      <c r="D4" s="10">
        <f t="shared" si="2"/>
        <v>52</v>
      </c>
      <c r="E4" s="10">
        <f t="shared" si="2"/>
        <v>76</v>
      </c>
      <c r="F4" s="10">
        <f t="shared" si="2"/>
        <v>81</v>
      </c>
      <c r="G4" s="10" t="str">
        <f t="shared" si="0"/>
        <v>TEST_MERGENEWITEMSINTOARRAY</v>
      </c>
      <c r="H4" s="10" t="str">
        <f t="shared" ref="H4:H9" si="3">IF(ISBLANK($A4),"",TRIM(MID($A4,D4+LEN(D$2),E4-(D4+LEN(D$2)))))</f>
        <v>MergeNewItemsIntoArray</v>
      </c>
      <c r="I4" s="10" t="str">
        <f t="shared" ref="I4:I9" si="4">IF(ISBLANK(A4),"",RIGHT(A4,LEN(A4)-(F4+LEN(F4))))</f>
        <v>MergeNewItemsIntoArray_Tests</v>
      </c>
      <c r="J4" s="10" t="s">
        <v>59</v>
      </c>
      <c r="K4" s="10">
        <f t="shared" ref="K4:M9" si="5">IF(ISBLANK($B4),"",FIND(K$2,$B4))</f>
        <v>9</v>
      </c>
      <c r="L4" s="10">
        <f t="shared" si="5"/>
        <v>48</v>
      </c>
      <c r="M4" s="10">
        <f t="shared" si="5"/>
        <v>52</v>
      </c>
      <c r="N4" s="10" t="str">
        <f t="shared" si="1"/>
        <v>CHOICE_MERGENEWITEMSINTOARRAY</v>
      </c>
      <c r="O4" s="10">
        <f t="shared" ref="O4:O9" si="6">IF(ISBLANK($B4),"",INT(TRIM(MID($B4,L4+LEN(L$2),M4-(L4+LEN(L$2))))))</f>
        <v>1</v>
      </c>
      <c r="P4" s="10" t="s">
        <v>47</v>
      </c>
      <c r="Q4" s="10" t="str">
        <f t="shared" ref="Q4:Q9" si="7">IF(ISBLANK(A4),"",CONCATENATE(G4," ,"))</f>
        <v>TEST_MERGENEWITEMSINTOARRAY ,</v>
      </c>
    </row>
    <row r="5" spans="1:17" x14ac:dyDescent="0.25">
      <c r="A5" s="10" t="s">
        <v>24</v>
      </c>
      <c r="B5" s="10" t="s">
        <v>30</v>
      </c>
      <c r="C5" s="10">
        <f t="shared" si="2"/>
        <v>9</v>
      </c>
      <c r="D5" s="10">
        <f t="shared" si="2"/>
        <v>40</v>
      </c>
      <c r="E5" s="10">
        <f t="shared" si="2"/>
        <v>52</v>
      </c>
      <c r="F5" s="10">
        <f t="shared" si="2"/>
        <v>81</v>
      </c>
      <c r="G5" s="10" t="str">
        <f t="shared" si="0"/>
        <v>TEST_DIGESTFILE</v>
      </c>
      <c r="H5" s="10" t="str">
        <f t="shared" si="3"/>
        <v>DigestFile</v>
      </c>
      <c r="I5" s="10" t="str">
        <f t="shared" si="4"/>
        <v>DigestFileTests</v>
      </c>
      <c r="J5" s="10" t="s">
        <v>58</v>
      </c>
      <c r="K5" s="10">
        <f t="shared" si="5"/>
        <v>9</v>
      </c>
      <c r="L5" s="10">
        <f t="shared" si="5"/>
        <v>36</v>
      </c>
      <c r="M5" s="10">
        <f t="shared" si="5"/>
        <v>40</v>
      </c>
      <c r="N5" s="10" t="str">
        <f t="shared" si="1"/>
        <v>CHOICE_DIGESTFILE</v>
      </c>
      <c r="O5" s="10">
        <f t="shared" si="6"/>
        <v>2</v>
      </c>
      <c r="P5" s="10" t="s">
        <v>48</v>
      </c>
      <c r="Q5" s="10" t="str">
        <f t="shared" si="7"/>
        <v>TEST_DIGESTFILE ,</v>
      </c>
    </row>
    <row r="6" spans="1:17" x14ac:dyDescent="0.25">
      <c r="A6" s="10" t="s">
        <v>25</v>
      </c>
      <c r="B6" s="10" t="s">
        <v>31</v>
      </c>
      <c r="C6" s="10">
        <f t="shared" si="2"/>
        <v>9</v>
      </c>
      <c r="D6" s="10">
        <f t="shared" si="2"/>
        <v>43</v>
      </c>
      <c r="E6" s="10">
        <f t="shared" si="2"/>
        <v>58</v>
      </c>
      <c r="F6" s="10">
        <f t="shared" si="2"/>
        <v>81</v>
      </c>
      <c r="G6" s="10" t="str">
        <f t="shared" si="0"/>
        <v>TEST_REPORTDETAILS</v>
      </c>
      <c r="H6" s="10" t="str">
        <f t="shared" si="3"/>
        <v>ReportDetails</v>
      </c>
      <c r="I6" s="10" t="str">
        <f t="shared" si="4"/>
        <v>ReportDetailsTests</v>
      </c>
      <c r="J6" s="10" t="s">
        <v>57</v>
      </c>
      <c r="K6" s="10">
        <f t="shared" si="5"/>
        <v>9</v>
      </c>
      <c r="L6" s="10">
        <f t="shared" si="5"/>
        <v>39</v>
      </c>
      <c r="M6" s="10">
        <f t="shared" si="5"/>
        <v>43</v>
      </c>
      <c r="N6" s="10" t="str">
        <f t="shared" si="1"/>
        <v>CHOICE_REPORTDETAILS</v>
      </c>
      <c r="O6" s="10">
        <f t="shared" si="6"/>
        <v>3</v>
      </c>
      <c r="P6" s="10" t="s">
        <v>49</v>
      </c>
      <c r="Q6" s="10" t="str">
        <f t="shared" si="7"/>
        <v>TEST_REPORTDETAILS ,</v>
      </c>
    </row>
    <row r="7" spans="1:17" x14ac:dyDescent="0.25">
      <c r="A7" s="10" t="s">
        <v>26</v>
      </c>
      <c r="B7" s="10" t="s">
        <v>32</v>
      </c>
      <c r="C7" s="10">
        <f t="shared" si="2"/>
        <v>9</v>
      </c>
      <c r="D7" s="10">
        <f t="shared" si="2"/>
        <v>43</v>
      </c>
      <c r="E7" s="10">
        <f t="shared" si="2"/>
        <v>58</v>
      </c>
      <c r="F7" s="10">
        <f t="shared" si="2"/>
        <v>81</v>
      </c>
      <c r="G7" s="10" t="str">
        <f t="shared" si="0"/>
        <v>TEST_REPORTHELPERS</v>
      </c>
      <c r="H7" s="10" t="str">
        <f t="shared" si="3"/>
        <v>ReportHelpers</v>
      </c>
      <c r="I7" s="10" t="str">
        <f t="shared" si="4"/>
        <v>ReportHelpers</v>
      </c>
      <c r="J7" s="10" t="s">
        <v>56</v>
      </c>
      <c r="K7" s="10">
        <f t="shared" si="5"/>
        <v>9</v>
      </c>
      <c r="L7" s="10">
        <f t="shared" si="5"/>
        <v>39</v>
      </c>
      <c r="M7" s="10">
        <f t="shared" si="5"/>
        <v>43</v>
      </c>
      <c r="N7" s="10" t="str">
        <f t="shared" si="1"/>
        <v>CHOICE_REPORTHELPERS</v>
      </c>
      <c r="O7" s="10">
        <f t="shared" si="6"/>
        <v>4</v>
      </c>
      <c r="P7" s="10" t="s">
        <v>50</v>
      </c>
      <c r="Q7" s="10" t="str">
        <f t="shared" si="7"/>
        <v>TEST_REPORTHELPERS ,</v>
      </c>
    </row>
    <row r="8" spans="1:17" x14ac:dyDescent="0.25">
      <c r="A8" s="10" t="s">
        <v>27</v>
      </c>
      <c r="B8" s="10" t="s">
        <v>33</v>
      </c>
      <c r="C8" s="10">
        <f t="shared" si="2"/>
        <v>9</v>
      </c>
      <c r="D8" s="10">
        <f t="shared" si="2"/>
        <v>45</v>
      </c>
      <c r="E8" s="10">
        <f t="shared" si="2"/>
        <v>60</v>
      </c>
      <c r="F8" s="10">
        <f t="shared" si="2"/>
        <v>81</v>
      </c>
      <c r="G8" s="10" t="str">
        <f t="shared" si="0"/>
        <v>TEST_FORMAT_ITEM_GEN</v>
      </c>
      <c r="H8" s="10" t="str">
        <f t="shared" si="3"/>
        <v>FormatItemGen</v>
      </c>
      <c r="I8" s="10" t="str">
        <f t="shared" si="4"/>
        <v>FormatItem</v>
      </c>
      <c r="J8" s="10" t="s">
        <v>62</v>
      </c>
      <c r="K8" s="10">
        <f t="shared" si="5"/>
        <v>9</v>
      </c>
      <c r="L8" s="10">
        <f t="shared" si="5"/>
        <v>41</v>
      </c>
      <c r="M8" s="10">
        <f t="shared" si="5"/>
        <v>45</v>
      </c>
      <c r="N8" s="10" t="str">
        <f t="shared" si="1"/>
        <v>CHOICE_FORMAT_ITEM_GEN</v>
      </c>
      <c r="O8" s="10">
        <f t="shared" si="6"/>
        <v>5</v>
      </c>
      <c r="P8" s="10" t="s">
        <v>51</v>
      </c>
      <c r="Q8" s="10" t="str">
        <f t="shared" si="7"/>
        <v>TEST_FORMAT_ITEM_GEN ,</v>
      </c>
    </row>
    <row r="9" spans="1:17" x14ac:dyDescent="0.25">
      <c r="A9" s="10" t="s">
        <v>44</v>
      </c>
      <c r="B9" s="10" t="s">
        <v>45</v>
      </c>
      <c r="C9" s="10">
        <f t="shared" si="2"/>
        <v>9</v>
      </c>
      <c r="D9" s="10">
        <f t="shared" si="2"/>
        <v>45</v>
      </c>
      <c r="E9" s="10">
        <f t="shared" si="2"/>
        <v>60</v>
      </c>
      <c r="F9" s="10">
        <f t="shared" si="2"/>
        <v>81</v>
      </c>
      <c r="G9" s="10" t="str">
        <f t="shared" si="0"/>
        <v>TEST_ASCII_TABLE_GEN</v>
      </c>
      <c r="H9" s="10" t="str">
        <f t="shared" si="3"/>
        <v>ASCIITableGen</v>
      </c>
      <c r="I9" s="10" t="str">
        <f t="shared" si="4"/>
        <v>ASCII_Table_Gen</v>
      </c>
      <c r="J9" s="10" t="s">
        <v>61</v>
      </c>
      <c r="K9" s="10">
        <f t="shared" si="5"/>
        <v>9</v>
      </c>
      <c r="L9" s="10">
        <f t="shared" si="5"/>
        <v>41</v>
      </c>
      <c r="M9" s="10">
        <f t="shared" si="5"/>
        <v>45</v>
      </c>
      <c r="N9" s="10" t="str">
        <f t="shared" si="1"/>
        <v>CHOICE_ASCII_TABLE_GEN</v>
      </c>
      <c r="O9" s="10">
        <f t="shared" si="6"/>
        <v>6</v>
      </c>
      <c r="P9" s="10"/>
      <c r="Q9" s="10" t="str">
        <f t="shared" si="7"/>
        <v>TEST_ASCII_TABLE_GEN ,</v>
      </c>
    </row>
    <row r="19" spans="7:7" ht="23.25" x14ac:dyDescent="0.35">
      <c r="G19" s="12"/>
    </row>
  </sheetData>
  <mergeCells count="3">
    <mergeCell ref="A1:B1"/>
    <mergeCell ref="K1:O1"/>
    <mergeCell ref="C1:J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E5" sqref="E5"/>
    </sheetView>
  </sheetViews>
  <sheetFormatPr defaultRowHeight="15" x14ac:dyDescent="0.25"/>
  <cols>
    <col min="1" max="1" width="15" bestFit="1" customWidth="1"/>
    <col min="2" max="2" width="38.75" bestFit="1" customWidth="1"/>
    <col min="3" max="3" width="53.125" bestFit="1" customWidth="1"/>
    <col min="4" max="4" width="22.25" bestFit="1" customWidth="1"/>
    <col min="5" max="5" width="40.375" bestFit="1" customWidth="1"/>
    <col min="6" max="6" width="17.125" bestFit="1" customWidth="1"/>
  </cols>
  <sheetData>
    <row r="1" spans="1:6" ht="20.25" thickBot="1" x14ac:dyDescent="0.35">
      <c r="A1" s="19" t="s">
        <v>65</v>
      </c>
      <c r="B1" s="19" t="s">
        <v>70</v>
      </c>
      <c r="C1" s="19" t="s">
        <v>75</v>
      </c>
      <c r="D1" s="19" t="s">
        <v>66</v>
      </c>
      <c r="E1" s="19" t="s">
        <v>68</v>
      </c>
      <c r="F1" s="19" t="s">
        <v>71</v>
      </c>
    </row>
    <row r="2" spans="1:6" ht="15.75" thickTop="1" x14ac:dyDescent="0.25">
      <c r="A2" t="s">
        <v>64</v>
      </c>
      <c r="B2" t="str">
        <f>IF(ISBLANK(A2),"",CONCATENATE($B$1,".",A2))</f>
        <v>Utl.YesNo</v>
      </c>
      <c r="D2" t="s">
        <v>67</v>
      </c>
      <c r="E2" s="20" t="s">
        <v>69</v>
      </c>
      <c r="F2" s="21">
        <v>42533.949583333335</v>
      </c>
    </row>
    <row r="3" spans="1:6" x14ac:dyDescent="0.25">
      <c r="A3" t="s">
        <v>63</v>
      </c>
      <c r="B3" t="str">
        <f t="shared" ref="B3:B20" si="0">IF(ISBLANK(A3),"",CONCATENATE($B$1,".",A3))</f>
        <v>Utl.GateSystemType</v>
      </c>
      <c r="D3" t="s">
        <v>67</v>
      </c>
      <c r="E3" s="20" t="s">
        <v>69</v>
      </c>
      <c r="F3" s="21">
        <v>42533.949583333335</v>
      </c>
    </row>
    <row r="4" spans="1:6" x14ac:dyDescent="0.25">
      <c r="A4" t="s">
        <v>72</v>
      </c>
      <c r="B4" t="str">
        <f t="shared" si="0"/>
        <v>Utl.BEGINNING_OF_BUFFER</v>
      </c>
      <c r="C4" t="s">
        <v>76</v>
      </c>
      <c r="D4" t="s">
        <v>96</v>
      </c>
      <c r="E4" s="20"/>
      <c r="F4" s="20"/>
    </row>
    <row r="5" spans="1:6" x14ac:dyDescent="0.25">
      <c r="A5" t="s">
        <v>73</v>
      </c>
      <c r="B5" t="str">
        <f t="shared" si="0"/>
        <v>Utl.EXCLUDE_LABEL_ROW</v>
      </c>
      <c r="C5" t="s">
        <v>77</v>
      </c>
      <c r="D5" t="s">
        <v>96</v>
      </c>
      <c r="E5" s="20"/>
      <c r="F5" s="20"/>
    </row>
    <row r="6" spans="1:6" x14ac:dyDescent="0.25">
      <c r="A6" t="s">
        <v>74</v>
      </c>
      <c r="B6" t="str">
        <f t="shared" si="0"/>
        <v>Utl.FIRST_RECORD</v>
      </c>
      <c r="C6" t="s">
        <v>77</v>
      </c>
      <c r="D6" t="s">
        <v>96</v>
      </c>
      <c r="E6" s="20"/>
      <c r="F6" s="20"/>
    </row>
    <row r="7" spans="1:6" x14ac:dyDescent="0.25">
      <c r="A7" t="s">
        <v>78</v>
      </c>
      <c r="B7" t="str">
        <f t="shared" si="0"/>
        <v>Utl.NUMERIC_FORMAT_PERCENTAGE</v>
      </c>
      <c r="C7" t="s">
        <v>79</v>
      </c>
      <c r="D7" t="s">
        <v>96</v>
      </c>
      <c r="E7" s="20"/>
      <c r="F7" s="20"/>
    </row>
    <row r="8" spans="1:6" x14ac:dyDescent="0.25">
      <c r="A8" t="s">
        <v>80</v>
      </c>
      <c r="B8" t="str">
        <f t="shared" si="0"/>
        <v>Utl.NUMERIC_FORMAT_INTEGER_NO_DECIMAL</v>
      </c>
      <c r="C8" t="s">
        <v>81</v>
      </c>
      <c r="D8" t="s">
        <v>96</v>
      </c>
      <c r="E8" s="20"/>
      <c r="F8" s="20"/>
    </row>
    <row r="9" spans="1:6" x14ac:dyDescent="0.25">
      <c r="A9" t="s">
        <v>82</v>
      </c>
      <c r="B9" t="str">
        <f t="shared" si="0"/>
        <v>Utl.ARRAY_FIRST_ELEMENT</v>
      </c>
      <c r="C9" t="s">
        <v>83</v>
      </c>
      <c r="D9" t="s">
        <v>96</v>
      </c>
      <c r="E9" s="20"/>
      <c r="F9" s="20"/>
    </row>
    <row r="10" spans="1:6" x14ac:dyDescent="0.25">
      <c r="A10" t="s">
        <v>84</v>
      </c>
      <c r="B10" t="str">
        <f t="shared" si="0"/>
        <v>Utl.ARRAY_INVALID_INDEX</v>
      </c>
      <c r="C10" t="s">
        <v>85</v>
      </c>
      <c r="D10" t="s">
        <v>96</v>
      </c>
      <c r="E10" s="20"/>
      <c r="F10" s="20"/>
    </row>
    <row r="11" spans="1:6" x14ac:dyDescent="0.25">
      <c r="A11" t="s">
        <v>86</v>
      </c>
      <c r="B11" t="str">
        <f t="shared" si="0"/>
        <v>Utl.ARRAY_NEXT_ELEMENT</v>
      </c>
      <c r="C11" t="s">
        <v>87</v>
      </c>
      <c r="D11" t="s">
        <v>96</v>
      </c>
      <c r="E11" s="20"/>
      <c r="F11" s="20"/>
    </row>
    <row r="12" spans="1:6" x14ac:dyDescent="0.25">
      <c r="A12" t="s">
        <v>88</v>
      </c>
      <c r="B12" t="str">
        <f t="shared" si="0"/>
        <v>Utl.ARRAY_SUBSCRIPT_TO_ORDINAL</v>
      </c>
      <c r="C12" t="s">
        <v>89</v>
      </c>
      <c r="D12" t="s">
        <v>96</v>
      </c>
      <c r="E12" s="20"/>
      <c r="F12" s="20"/>
    </row>
    <row r="13" spans="1:6" x14ac:dyDescent="0.25">
      <c r="A13" t="s">
        <v>90</v>
      </c>
      <c r="B13" t="str">
        <f t="shared" si="0"/>
        <v>Utl.BEGINNING</v>
      </c>
      <c r="C13" t="s">
        <v>82</v>
      </c>
      <c r="D13" t="s">
        <v>96</v>
      </c>
      <c r="E13" s="20"/>
      <c r="F13" s="20"/>
    </row>
    <row r="14" spans="1:6" x14ac:dyDescent="0.25">
      <c r="A14" t="s">
        <v>91</v>
      </c>
      <c r="B14" t="str">
        <f t="shared" si="0"/>
        <v>Utl.NONE_YET</v>
      </c>
      <c r="C14" t="s">
        <v>92</v>
      </c>
      <c r="D14" t="s">
        <v>96</v>
      </c>
      <c r="E14" s="20"/>
      <c r="F14" s="20"/>
    </row>
    <row r="15" spans="1:6" x14ac:dyDescent="0.25">
      <c r="A15" t="s">
        <v>93</v>
      </c>
      <c r="B15" t="str">
        <f t="shared" si="0"/>
        <v>Utl.s_achrOneTab</v>
      </c>
      <c r="C15" t="s">
        <v>94</v>
      </c>
      <c r="D15" t="s">
        <v>95</v>
      </c>
      <c r="E15" s="20"/>
      <c r="F15" s="20"/>
    </row>
    <row r="16" spans="1:6" x14ac:dyDescent="0.25">
      <c r="A16" t="s">
        <v>97</v>
      </c>
      <c r="B16" t="str">
        <f t="shared" si="0"/>
        <v>Utl.ByteArrayToHexDigitString</v>
      </c>
      <c r="C16" t="s">
        <v>105</v>
      </c>
      <c r="D16" t="s">
        <v>98</v>
      </c>
      <c r="E16" s="20" t="s">
        <v>103</v>
      </c>
      <c r="F16" s="21">
        <v>42533.979583333334</v>
      </c>
    </row>
    <row r="17" spans="1:6" x14ac:dyDescent="0.25">
      <c r="A17" t="s">
        <v>99</v>
      </c>
      <c r="B17" t="str">
        <f t="shared" si="0"/>
        <v>Utl.DisplayPercentage</v>
      </c>
      <c r="C17" t="s">
        <v>100</v>
      </c>
      <c r="D17" t="s">
        <v>98</v>
      </c>
      <c r="E17" s="20" t="s">
        <v>69</v>
      </c>
      <c r="F17" s="21">
        <v>42533.980740740742</v>
      </c>
    </row>
    <row r="18" spans="1:6" x14ac:dyDescent="0.25">
      <c r="A18" t="s">
        <v>101</v>
      </c>
      <c r="B18" t="str">
        <f t="shared" si="0"/>
        <v>Utl.LoadTextFileFromCallingAssembly</v>
      </c>
      <c r="C18" t="s">
        <v>106</v>
      </c>
      <c r="D18" t="s">
        <v>102</v>
      </c>
      <c r="E18" s="20" t="s">
        <v>104</v>
      </c>
      <c r="F18" s="21">
        <v>42533.987951388888</v>
      </c>
    </row>
    <row r="19" spans="1:6" x14ac:dyDescent="0.25">
      <c r="B19" t="str">
        <f t="shared" si="0"/>
        <v/>
      </c>
    </row>
    <row r="20" spans="1:6" x14ac:dyDescent="0.25">
      <c r="B20" t="str">
        <f t="shared" si="0"/>
        <v/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SharedUtl4 Versions</vt:lpstr>
      <vt:lpstr>TestStand_Arguments</vt:lpstr>
      <vt:lpstr>Utl Class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Version Upgrade Worksheet</dc:title>
  <dc:subject>WizardWrx.SharedUtl4</dc:subject>
  <dc:creator>David A. Gray</dc:creator>
  <cp:lastModifiedBy>David A. Gray</cp:lastModifiedBy>
  <dcterms:created xsi:type="dcterms:W3CDTF">2016-06-10T06:07:16Z</dcterms:created>
  <dcterms:modified xsi:type="dcterms:W3CDTF">2016-06-13T05:25:56Z</dcterms:modified>
</cp:coreProperties>
</file>